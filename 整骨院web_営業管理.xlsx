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6b25330a2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今日の対応" sheetId="1" r:id="R2f8f54be02014fb2"/>
    <x:sheet xmlns:r="http://schemas.openxmlformats.org/officeDocument/2006/relationships" name="営業名簿" sheetId="2" r:id="Re389dfe8aabd42b7"/>
    <x:sheet xmlns:r="http://schemas.openxmlformats.org/officeDocument/2006/relationships" name="送信禁止リスト" sheetId="3" r:id="Rf1cd820080cc4f7f"/>
    <x:sheet xmlns:r="http://schemas.openxmlformats.org/officeDocument/2006/relationships" name="設定・使い方" sheetId="4" r:id="Rff82e5562806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2563EB"/>
      <x:name val="Carlito"/>
    </x:font>
    <x:font>
      <x:b/>
      <x:sz val="13"/>
      <x:color rgb="FF16324F"/>
      <x:name val="Carlito"/>
    </x:font>
    <x:font>
      <x:sz val="11"/>
      <x:color rgb="FF243746"/>
      <x:name val="Carlito"/>
    </x:font>
    <x:font>
      <x:b/>
      <x:sz val="11"/>
      <x:color rgb="FF16324F"/>
      <x:name val="Carlito"/>
    </x:font>
    <x:font>
      <x:sz val="11"/>
      <x:color rgb="FF16324F"/>
      <x:name val="Carlito"/>
    </x:font>
    <x:font>
      <x:b/>
      <x:sz val="14"/>
      <x:name val="Carlito"/>
    </x:font>
    <x:font>
      <x:b/>
      <x:sz val="11"/>
      <x:color rgb="FF9B1C1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4FA9A5"/>
      </x:patternFill>
    </x:fill>
    <x:fill>
      <x:patternFill patternType="solid">
        <x:fgColor rgb="FFFFF4CC"/>
      </x:patternFill>
    </x:fill>
    <x:fill>
      <x:patternFill patternType="solid">
        <x:fgColor rgb="FFE5F4F2"/>
      </x:patternFill>
    </x:fill>
    <x:fill>
      <x:patternFill patternType="solid">
        <x:fgColor rgb="FFEEF2F5"/>
      </x:patternFill>
    </x:fill>
    <x:fill>
      <x:patternFill patternType="solid">
        <x:fgColor rgb="FFFCE4C5"/>
      </x:patternFill>
    </x:fill>
    <x:fill>
      <x:patternFill patternType="solid">
        <x:fgColor rgb="FFFDE2E2"/>
      </x:patternFill>
    </x:fill>
  </x:fills>
  <x:borders count="11">
    <x:border/>
    <x:border>
      <x:left style="thin">
        <x:color rgb="FFCBD5DF"/>
      </x:left>
      <x:top style="thin">
        <x:color rgb="FFCBD5DF"/>
      </x:top>
      <x:bottom style="thin">
        <x:color rgb="FFCBD5DF"/>
      </x:bottom>
    </x:border>
    <x:border>
      <x:top style="thin">
        <x:color rgb="FFCBD5DF"/>
      </x:top>
      <x:bottom style="thin">
        <x:color rgb="FFCBD5DF"/>
      </x:bottom>
    </x:border>
    <x:border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right style="thin">
        <x:color rgb="FFCBD5DF"/>
      </x:right>
      <x:bottom style="thin">
        <x:color rgb="FFCBD5DF"/>
      </x:bottom>
    </x:border>
    <x:border>
      <x:left style="thin">
        <x:color rgb="FFCBD5DF"/>
      </x:left>
      <x:bottom style="thin">
        <x:color rgb="FFCBD5DF"/>
      </x:bottom>
    </x:border>
    <x:border>
      <x:right style="thin">
        <x:color rgb="FFCBD5DF"/>
      </x:right>
      <x:top style="thin">
        <x:color rgb="FFCBD5DF"/>
      </x:top>
    </x:border>
    <x:border>
      <x:left style="thin">
        <x:color rgb="FFCBD5DF"/>
      </x:left>
      <x:top style="thin">
        <x:color rgb="FFCBD5DF"/>
      </x:top>
    </x:border>
    <x:border>
      <x:left style="thin">
        <x:color rgb="FFCBD5DF"/>
      </x:left>
      <x:right style="thin">
        <x:color rgb="FFCBD5DF"/>
      </x:right>
      <x:bottom style="thin">
        <x:color rgb="FFCBD5DF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1" fontId="0" fillId="4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/>
    </x:xf>
    <x:xf numFmtId="201" fontId="0" fillId="6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7" borderId="0" xfId="0" applyNumberFormat="1" applyFont="1" applyFill="1" applyBorder="1"/>
    <x:xf numFmtId="0" fontId="8" fillId="8" borderId="0" xfId="0" applyNumberFormat="1" applyFont="1" applyFill="1" applyBorder="1"/>
    <x:xf numFmtId="200" fontId="8" fillId="7" borderId="0" xfId="0" applyNumberFormat="1" applyFont="1" applyFill="1" applyBorder="1"/>
    <x:xf numFmtId="200" fontId="8" fillId="8" borderId="0" xfId="0" applyNumberFormat="1" applyFont="1" applyFill="1" applyBorder="1"/>
    <x:xf numFmtId="200" fontId="8" fillId="7" borderId="0" xfId="0" applyNumberFormat="1" applyFont="1" applyFill="1" applyBorder="1" applyAlignment="1">
      <x:alignment horizontal="center"/>
    </x:xf>
    <x:xf numFmtId="200" fontId="8" fillId="8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3" xfId="0" applyNumberFormat="1" applyFont="1" applyFill="1" applyBorder="1"/>
    <x:xf numFmtId="200" fontId="3" fillId="4" borderId="1" xfId="0" applyNumberFormat="1" applyFont="1" applyFill="1" applyBorder="1"/>
    <x:xf numFmtId="0" fontId="0" fillId="0" borderId="6" xfId="0" applyNumberFormat="1" applyFont="1" applyFill="1" applyBorder="1"/>
    <x:xf numFmtId="200" fontId="3" fillId="4" borderId="7" xfId="0" applyNumberFormat="1" applyFont="1" applyFill="1" applyBorder="1"/>
    <x:xf numFmtId="0" fontId="0" fillId="7" borderId="3" xfId="0" applyNumberFormat="1" applyFont="1" applyFill="1" applyBorder="1"/>
    <x:xf numFmtId="200" fontId="8" fillId="7" borderId="1" xfId="0" applyNumberFormat="1" applyFont="1" applyFill="1" applyBorder="1" applyAlignment="1">
      <x:alignment horizontal="center"/>
    </x:xf>
    <x:xf numFmtId="0" fontId="0" fillId="8" borderId="6" xfId="0" applyNumberFormat="1" applyFont="1" applyFill="1" applyBorder="1"/>
    <x:xf numFmtId="200" fontId="8" fillId="8" borderId="7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/>
    <x:xf numFmtId="0" fontId="0" fillId="8" borderId="3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B1C1C"/>
      </x:font>
      <x:fill>
        <x:patternFill patternType="solid">
          <x:bgColor rgb="FFFDE2E2"/>
        </x:patternFill>
      </x:fill>
    </x:dxf>
    <x:dxf>
      <x:font>
        <x:color rgb="FF8A4B08"/>
      </x:font>
      <x:fill>
        <x:patternFill patternType="solid">
          <x:bgColor rgb="FFFCE4C5"/>
        </x:patternFill>
      </x:fill>
    </x:dxf>
    <x:dxf>
      <x:font>
        <x:color rgb="FF1F6B3A"/>
      </x:font>
      <x:fill>
        <x:patternFill patternType="solid">
          <x:bgColor rgb="FFE3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fc6c6e1c04950" /><Relationship Type="http://schemas.openxmlformats.org/officeDocument/2006/relationships/theme" Target="/xl/theme/theme1.xml" Id="R9f355062d99e4d76" /><Relationship Type="http://schemas.openxmlformats.org/officeDocument/2006/relationships/sharedStrings" Target="/xl/sharedStrings.xml" Id="Rc53891f54fee4082" /><Relationship Type="http://schemas.openxmlformats.org/officeDocument/2006/relationships/worksheet" Target="/xl/worksheets/sheet1.xml" Id="R2f8f54be02014fb2" /><Relationship Type="http://schemas.openxmlformats.org/officeDocument/2006/relationships/worksheet" Target="/xl/worksheets/sheet2.xml" Id="Re389dfe8aabd42b7" /><Relationship Type="http://schemas.openxmlformats.org/officeDocument/2006/relationships/worksheet" Target="/xl/worksheets/sheet3.xml" Id="Rf1cd820080cc4f7f" /><Relationship Type="http://schemas.openxmlformats.org/officeDocument/2006/relationships/worksheet" Target="/xl/worksheets/sheet4.xml" Id="Rff82e5562806494e" /></Relationships>
</file>

<file path=xl/tables/table1.xml><?xml version="1.0" encoding="utf-8"?>
<x:table xmlns:x="http://schemas.openxmlformats.org/spreadsheetml/2006/main" id="1" name="SalesLeadsTable" displayName="SalesLeadsTable" ref="A4:M204" headerRowCount="1" totalsRowCount="0" totalsRowShown="0">
  <x:tableColumns count="13">
    <x:tableColumn id="1" name="ID"/>
    <x:tableColumn id="2" name="院名"/>
    <x:tableColumn id="3" name="都道府県"/>
    <x:tableColumn id="4" name="サイトURL"/>
    <x:tableColumn id="5" name="メールアドレス"/>
    <x:tableColumn id="6" name="個別の改善ポイント"/>
    <x:tableColumn id="7" name="初回送信日"/>
    <x:tableColumn id="8" name="追客予定日"/>
    <x:tableColumn id="9" name="追客送信日"/>
    <x:tableColumn id="10" name="返信状況"/>
    <x:tableColumn id="11" name="営業拒否"/>
    <x:tableColumn id="12" name="ステータス"/>
    <x:tableColumn id="13" name="次の対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c0638aa7524f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2" hidden="0" customWidth="1"/>
    <x:col min="4" max="4" width="30" hidden="0" customWidth="1"/>
    <x:col min="5" max="5" width="28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2" hidden="0" customWidth="1"/>
    <x:col min="12" max="12" width="15" hidden="0" customWidth="1"/>
    <x:col min="13" max="13" width="16" hidden="0" customWidth="1"/>
  </x:cols>
  <x:sheetData>
    <x:row r="1" ht="34" customHeight="1">
      <x:c r="A1" s="3" t="str">
        <x:v>整骨院web｜今日の対応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51" t="str">
        <x:v>指標</x:v>
      </x:c>
      <x:c r="B3" s="52" t="str">
        <x:v>件数</x:v>
      </x:c>
    </x:row>
    <x:row r="4">
      <x:c r="A4" s="57" t="str">
        <x:v>未送信</x:v>
      </x:c>
      <x:c r="B4" s="58" t="n">
        <x:f>COUNTIF('営業名簿'!$L$5:$L$204,"未送信")</x:f>
        <x:v>0</x:v>
      </x:c>
    </x:row>
    <x:row r="5">
      <x:c r="A5" s="57" t="str">
        <x:v>追客対象</x:v>
      </x:c>
      <x:c r="B5" s="58" t="n">
        <x:f>COUNTIF('営業名簿'!$L$5:$L$204,"追客対象")</x:f>
        <x:v>0</x:v>
      </x:c>
    </x:row>
    <x:row r="6">
      <x:c r="A6" s="59" t="str">
        <x:v>送信禁止</x:v>
      </x:c>
      <x:c r="B6" s="60" t="n">
        <x:f>COUNTIF('営業名簿'!$L$5:$L$204,"送信禁止")</x:f>
        <x:v>0</x:v>
      </x:c>
    </x:row>
    <x:row r="8">
      <x:c r="A8" s="61" t="str">
        <x:v>ID</x:v>
      </x:c>
      <x:c r="B8" s="62" t="str">
        <x:v>院名</x:v>
      </x:c>
      <x:c r="C8" s="62" t="str">
        <x:v>都道府県</x:v>
      </x:c>
      <x:c r="D8" s="62" t="str">
        <x:v>サイトURL</x:v>
      </x:c>
      <x:c r="E8" s="62" t="str">
        <x:v>メールアドレス</x:v>
      </x:c>
      <x:c r="F8" s="62" t="str">
        <x:v>個別の改善ポイント</x:v>
      </x:c>
      <x:c r="G8" s="62" t="str">
        <x:v>初回送信日</x:v>
      </x:c>
      <x:c r="H8" s="62" t="str">
        <x:v>追客予定日</x:v>
      </x:c>
      <x:c r="I8" s="62" t="str">
        <x:v>追客送信日</x:v>
      </x:c>
      <x:c r="J8" s="62" t="str">
        <x:v>返信状況</x:v>
      </x:c>
      <x:c r="K8" s="62" t="str">
        <x:v>営業拒否</x:v>
      </x:c>
      <x:c r="L8" s="62" t="str">
        <x:v>ステータス</x:v>
      </x:c>
      <x:c r="M8" s="63" t="str">
        <x:v>次の対応</x:v>
      </x:c>
    </x:row>
    <x:row r="9">
      <x:c r="A9" s="64" t="str">
        <x:f>_xlfn._xlws.FILTER('営業名簿'!A5:M204,(('営業名簿'!L5:L204="未送信")+('営業名簿'!L5:L204="追客対象"))*('営業名簿'!K5:K204&lt;&gt;"はい"),"今日の対応はありません")</x:f>
        <x:v>今日の対応はありません</x:v>
      </x:c>
      <x:c r="B9" s="65"/>
      <x:c r="C9" s="65"/>
      <x:c r="D9" s="66"/>
      <x:c r="E9" s="66"/>
      <x:c r="F9" s="66"/>
      <x:c r="G9" s="67"/>
      <x:c r="H9" s="67"/>
      <x:c r="I9" s="67"/>
      <x:c r="J9" s="65"/>
      <x:c r="K9" s="65"/>
      <x:c r="L9" s="65"/>
      <x:c r="M9" s="68"/>
    </x:row>
    <x:row r="10">
      <x:c r="A10" s="64"/>
      <x:c r="B10" s="65"/>
      <x:c r="C10" s="65"/>
      <x:c r="D10" s="66"/>
      <x:c r="E10" s="66"/>
      <x:c r="F10" s="66"/>
      <x:c r="G10" s="67"/>
      <x:c r="H10" s="67"/>
      <x:c r="I10" s="67"/>
      <x:c r="J10" s="65"/>
      <x:c r="K10" s="65"/>
      <x:c r="L10" s="65"/>
      <x:c r="M10" s="68"/>
    </x:row>
    <x:row r="11">
      <x:c r="A11" s="64"/>
      <x:c r="B11" s="65"/>
      <x:c r="C11" s="65"/>
      <x:c r="D11" s="66"/>
      <x:c r="E11" s="66"/>
      <x:c r="F11" s="66"/>
      <x:c r="G11" s="67"/>
      <x:c r="H11" s="67"/>
      <x:c r="I11" s="67"/>
      <x:c r="J11" s="65"/>
      <x:c r="K11" s="65"/>
      <x:c r="L11" s="65"/>
      <x:c r="M11" s="68"/>
    </x:row>
    <x:row r="12">
      <x:c r="A12" s="64"/>
      <x:c r="B12" s="65"/>
      <x:c r="C12" s="65"/>
      <x:c r="D12" s="66"/>
      <x:c r="E12" s="66"/>
      <x:c r="F12" s="66"/>
      <x:c r="G12" s="67"/>
      <x:c r="H12" s="67"/>
      <x:c r="I12" s="67"/>
      <x:c r="J12" s="65"/>
      <x:c r="K12" s="65"/>
      <x:c r="L12" s="65"/>
      <x:c r="M12" s="68"/>
    </x:row>
    <x:row r="13">
      <x:c r="A13" s="64"/>
      <x:c r="B13" s="65"/>
      <x:c r="C13" s="65"/>
      <x:c r="D13" s="66"/>
      <x:c r="E13" s="66"/>
      <x:c r="F13" s="66"/>
      <x:c r="G13" s="67"/>
      <x:c r="H13" s="67"/>
      <x:c r="I13" s="67"/>
      <x:c r="J13" s="65"/>
      <x:c r="K13" s="65"/>
      <x:c r="L13" s="65"/>
      <x:c r="M13" s="68"/>
    </x:row>
    <x:row r="14">
      <x:c r="A14" s="64"/>
      <x:c r="B14" s="65"/>
      <x:c r="C14" s="65"/>
      <x:c r="D14" s="66"/>
      <x:c r="E14" s="66"/>
      <x:c r="F14" s="66"/>
      <x:c r="G14" s="67"/>
      <x:c r="H14" s="67"/>
      <x:c r="I14" s="67"/>
      <x:c r="J14" s="65"/>
      <x:c r="K14" s="65"/>
      <x:c r="L14" s="65"/>
      <x:c r="M14" s="68"/>
    </x:row>
    <x:row r="15">
      <x:c r="A15" s="64"/>
      <x:c r="B15" s="65"/>
      <x:c r="C15" s="65"/>
      <x:c r="D15" s="66"/>
      <x:c r="E15" s="66"/>
      <x:c r="F15" s="66"/>
      <x:c r="G15" s="67"/>
      <x:c r="H15" s="67"/>
      <x:c r="I15" s="67"/>
      <x:c r="J15" s="65"/>
      <x:c r="K15" s="65"/>
      <x:c r="L15" s="65"/>
      <x:c r="M15" s="68"/>
    </x:row>
    <x:row r="16">
      <x:c r="A16" s="64"/>
      <x:c r="B16" s="65"/>
      <x:c r="C16" s="65"/>
      <x:c r="D16" s="66"/>
      <x:c r="E16" s="66"/>
      <x:c r="F16" s="66"/>
      <x:c r="G16" s="67"/>
      <x:c r="H16" s="67"/>
      <x:c r="I16" s="67"/>
      <x:c r="J16" s="65"/>
      <x:c r="K16" s="65"/>
      <x:c r="L16" s="65"/>
      <x:c r="M16" s="68"/>
    </x:row>
    <x:row r="17">
      <x:c r="A17" s="64"/>
      <x:c r="B17" s="65"/>
      <x:c r="C17" s="65"/>
      <x:c r="D17" s="66"/>
      <x:c r="E17" s="66"/>
      <x:c r="F17" s="66"/>
      <x:c r="G17" s="67"/>
      <x:c r="H17" s="67"/>
      <x:c r="I17" s="67"/>
      <x:c r="J17" s="65"/>
      <x:c r="K17" s="65"/>
      <x:c r="L17" s="65"/>
      <x:c r="M17" s="68"/>
    </x:row>
    <x:row r="18">
      <x:c r="A18" s="64"/>
      <x:c r="B18" s="65"/>
      <x:c r="C18" s="65"/>
      <x:c r="D18" s="66"/>
      <x:c r="E18" s="66"/>
      <x:c r="F18" s="66"/>
      <x:c r="G18" s="67"/>
      <x:c r="H18" s="67"/>
      <x:c r="I18" s="67"/>
      <x:c r="J18" s="65"/>
      <x:c r="K18" s="65"/>
      <x:c r="L18" s="65"/>
      <x:c r="M18" s="68"/>
    </x:row>
    <x:row r="19">
      <x:c r="A19" s="64"/>
      <x:c r="B19" s="65"/>
      <x:c r="C19" s="65"/>
      <x:c r="D19" s="66"/>
      <x:c r="E19" s="66"/>
      <x:c r="F19" s="66"/>
      <x:c r="G19" s="67"/>
      <x:c r="H19" s="67"/>
      <x:c r="I19" s="67"/>
      <x:c r="J19" s="65"/>
      <x:c r="K19" s="65"/>
      <x:c r="L19" s="65"/>
      <x:c r="M19" s="68"/>
    </x:row>
    <x:row r="20">
      <x:c r="A20" s="64"/>
      <x:c r="B20" s="65"/>
      <x:c r="C20" s="65"/>
      <x:c r="D20" s="66"/>
      <x:c r="E20" s="66"/>
      <x:c r="F20" s="66"/>
      <x:c r="G20" s="67"/>
      <x:c r="H20" s="67"/>
      <x:c r="I20" s="67"/>
      <x:c r="J20" s="65"/>
      <x:c r="K20" s="65"/>
      <x:c r="L20" s="65"/>
      <x:c r="M20" s="68"/>
    </x:row>
    <x:row r="21">
      <x:c r="A21" s="64"/>
      <x:c r="B21" s="65"/>
      <x:c r="C21" s="65"/>
      <x:c r="D21" s="66"/>
      <x:c r="E21" s="66"/>
      <x:c r="F21" s="66"/>
      <x:c r="G21" s="67"/>
      <x:c r="H21" s="67"/>
      <x:c r="I21" s="67"/>
      <x:c r="J21" s="65"/>
      <x:c r="K21" s="65"/>
      <x:c r="L21" s="65"/>
      <x:c r="M21" s="68"/>
    </x:row>
    <x:row r="22">
      <x:c r="A22" s="64"/>
      <x:c r="B22" s="65"/>
      <x:c r="C22" s="65"/>
      <x:c r="D22" s="66"/>
      <x:c r="E22" s="66"/>
      <x:c r="F22" s="66"/>
      <x:c r="G22" s="67"/>
      <x:c r="H22" s="67"/>
      <x:c r="I22" s="67"/>
      <x:c r="J22" s="65"/>
      <x:c r="K22" s="65"/>
      <x:c r="L22" s="65"/>
      <x:c r="M22" s="68"/>
    </x:row>
    <x:row r="23">
      <x:c r="A23" s="64"/>
      <x:c r="B23" s="65"/>
      <x:c r="C23" s="65"/>
      <x:c r="D23" s="66"/>
      <x:c r="E23" s="66"/>
      <x:c r="F23" s="66"/>
      <x:c r="G23" s="67"/>
      <x:c r="H23" s="67"/>
      <x:c r="I23" s="67"/>
      <x:c r="J23" s="65"/>
      <x:c r="K23" s="65"/>
      <x:c r="L23" s="65"/>
      <x:c r="M23" s="68"/>
    </x:row>
    <x:row r="24">
      <x:c r="A24" s="64"/>
      <x:c r="B24" s="65"/>
      <x:c r="C24" s="65"/>
      <x:c r="D24" s="66"/>
      <x:c r="E24" s="66"/>
      <x:c r="F24" s="66"/>
      <x:c r="G24" s="67"/>
      <x:c r="H24" s="67"/>
      <x:c r="I24" s="67"/>
      <x:c r="J24" s="65"/>
      <x:c r="K24" s="65"/>
      <x:c r="L24" s="65"/>
      <x:c r="M24" s="68"/>
    </x:row>
    <x:row r="25">
      <x:c r="A25" s="64"/>
      <x:c r="B25" s="65"/>
      <x:c r="C25" s="65"/>
      <x:c r="D25" s="66"/>
      <x:c r="E25" s="66"/>
      <x:c r="F25" s="66"/>
      <x:c r="G25" s="67"/>
      <x:c r="H25" s="67"/>
      <x:c r="I25" s="67"/>
      <x:c r="J25" s="65"/>
      <x:c r="K25" s="65"/>
      <x:c r="L25" s="65"/>
      <x:c r="M25" s="68"/>
    </x:row>
    <x:row r="26">
      <x:c r="A26" s="64"/>
      <x:c r="B26" s="65"/>
      <x:c r="C26" s="65"/>
      <x:c r="D26" s="66"/>
      <x:c r="E26" s="66"/>
      <x:c r="F26" s="66"/>
      <x:c r="G26" s="67"/>
      <x:c r="H26" s="67"/>
      <x:c r="I26" s="67"/>
      <x:c r="J26" s="65"/>
      <x:c r="K26" s="65"/>
      <x:c r="L26" s="65"/>
      <x:c r="M26" s="68"/>
    </x:row>
    <x:row r="27">
      <x:c r="A27" s="64"/>
      <x:c r="B27" s="65"/>
      <x:c r="C27" s="65"/>
      <x:c r="D27" s="66"/>
      <x:c r="E27" s="66"/>
      <x:c r="F27" s="66"/>
      <x:c r="G27" s="67"/>
      <x:c r="H27" s="67"/>
      <x:c r="I27" s="67"/>
      <x:c r="J27" s="65"/>
      <x:c r="K27" s="65"/>
      <x:c r="L27" s="65"/>
      <x:c r="M27" s="68"/>
    </x:row>
    <x:row r="28">
      <x:c r="A28" s="64"/>
      <x:c r="B28" s="65"/>
      <x:c r="C28" s="65"/>
      <x:c r="D28" s="66"/>
      <x:c r="E28" s="66"/>
      <x:c r="F28" s="66"/>
      <x:c r="G28" s="67"/>
      <x:c r="H28" s="67"/>
      <x:c r="I28" s="67"/>
      <x:c r="J28" s="65"/>
      <x:c r="K28" s="65"/>
      <x:c r="L28" s="65"/>
      <x:c r="M28" s="68"/>
    </x:row>
    <x:row r="29">
      <x:c r="A29" s="64"/>
      <x:c r="B29" s="65"/>
      <x:c r="C29" s="65"/>
      <x:c r="D29" s="66"/>
      <x:c r="E29" s="66"/>
      <x:c r="F29" s="66"/>
      <x:c r="G29" s="67"/>
      <x:c r="H29" s="67"/>
      <x:c r="I29" s="67"/>
      <x:c r="J29" s="65"/>
      <x:c r="K29" s="65"/>
      <x:c r="L29" s="65"/>
      <x:c r="M29" s="68"/>
    </x:row>
    <x:row r="30">
      <x:c r="A30" s="69"/>
      <x:c r="B30" s="70"/>
      <x:c r="C30" s="70"/>
      <x:c r="D30" s="71"/>
      <x:c r="E30" s="71"/>
      <x:c r="F30" s="71"/>
      <x:c r="G30" s="72"/>
      <x:c r="H30" s="72"/>
      <x:c r="I30" s="72"/>
      <x:c r="J30" s="70"/>
      <x:c r="K30" s="70"/>
      <x:c r="L30" s="70"/>
      <x:c r="M30" s="73"/>
    </x:row>
    <x:row r="31">
      <x:c r="A31" s="45"/>
      <x:c r="B31" s="45"/>
      <x:c r="C31" s="45"/>
      <x:c r="D31" s="47"/>
      <x:c r="E31" s="47"/>
      <x:c r="F31" s="47"/>
      <x:c r="G31" s="46"/>
      <x:c r="H31" s="46"/>
      <x:c r="I31" s="46"/>
      <x:c r="J31" s="45"/>
      <x:c r="K31" s="45"/>
      <x:c r="L31" s="45"/>
      <x:c r="M31" s="45"/>
    </x:row>
    <x:row r="32">
      <x:c r="A32" s="45"/>
      <x:c r="B32" s="45"/>
      <x:c r="C32" s="45"/>
      <x:c r="D32" s="47"/>
      <x:c r="E32" s="47"/>
      <x:c r="F32" s="47"/>
      <x:c r="G32" s="46"/>
      <x:c r="H32" s="46"/>
      <x:c r="I32" s="46"/>
      <x:c r="J32" s="45"/>
      <x:c r="K32" s="45"/>
      <x:c r="L32" s="45"/>
      <x:c r="M32" s="45"/>
    </x:row>
    <x:row r="33">
      <x:c r="A33" s="45"/>
      <x:c r="B33" s="45"/>
      <x:c r="C33" s="45"/>
      <x:c r="D33" s="47"/>
      <x:c r="E33" s="47"/>
      <x:c r="F33" s="47"/>
      <x:c r="G33" s="46"/>
      <x:c r="H33" s="46"/>
      <x:c r="I33" s="46"/>
      <x:c r="J33" s="45"/>
      <x:c r="K33" s="45"/>
      <x:c r="L33" s="45"/>
      <x:c r="M33" s="45"/>
    </x:row>
    <x:row r="34">
      <x:c r="A34" s="45"/>
      <x:c r="B34" s="45"/>
      <x:c r="C34" s="45"/>
      <x:c r="D34" s="47"/>
      <x:c r="E34" s="47"/>
      <x:c r="F34" s="47"/>
      <x:c r="G34" s="46"/>
      <x:c r="H34" s="46"/>
      <x:c r="I34" s="46"/>
      <x:c r="J34" s="45"/>
      <x:c r="K34" s="45"/>
      <x:c r="L34" s="45"/>
      <x:c r="M34" s="45"/>
    </x:row>
    <x:row r="35">
      <x:c r="A35" s="45"/>
      <x:c r="B35" s="45"/>
      <x:c r="C35" s="45"/>
      <x:c r="D35" s="47"/>
      <x:c r="E35" s="47"/>
      <x:c r="F35" s="47"/>
      <x:c r="G35" s="46"/>
      <x:c r="H35" s="46"/>
      <x:c r="I35" s="46"/>
      <x:c r="J35" s="45"/>
      <x:c r="K35" s="45"/>
      <x:c r="L35" s="45"/>
      <x:c r="M35" s="45"/>
    </x:row>
    <x:row r="36">
      <x:c r="A36" s="45"/>
      <x:c r="B36" s="45"/>
      <x:c r="C36" s="45"/>
      <x:c r="D36" s="47"/>
      <x:c r="E36" s="47"/>
      <x:c r="F36" s="47"/>
      <x:c r="G36" s="46"/>
      <x:c r="H36" s="46"/>
      <x:c r="I36" s="46"/>
      <x:c r="J36" s="45"/>
      <x:c r="K36" s="45"/>
      <x:c r="L36" s="45"/>
      <x:c r="M36" s="45"/>
    </x:row>
    <x:row r="37">
      <x:c r="A37" s="45"/>
      <x:c r="B37" s="45"/>
      <x:c r="C37" s="45"/>
      <x:c r="D37" s="47"/>
      <x:c r="E37" s="47"/>
      <x:c r="F37" s="47"/>
      <x:c r="G37" s="46"/>
      <x:c r="H37" s="46"/>
      <x:c r="I37" s="46"/>
      <x:c r="J37" s="45"/>
      <x:c r="K37" s="45"/>
      <x:c r="L37" s="45"/>
      <x:c r="M37" s="45"/>
    </x:row>
    <x:row r="38">
      <x:c r="A38" s="45"/>
      <x:c r="B38" s="45"/>
      <x:c r="C38" s="45"/>
      <x:c r="D38" s="47"/>
      <x:c r="E38" s="47"/>
      <x:c r="F38" s="47"/>
      <x:c r="G38" s="46"/>
      <x:c r="H38" s="46"/>
      <x:c r="I38" s="46"/>
      <x:c r="J38" s="45"/>
      <x:c r="K38" s="45"/>
      <x:c r="L38" s="45"/>
      <x:c r="M38" s="45"/>
    </x:row>
    <x:row r="39">
      <x:c r="A39" s="45"/>
      <x:c r="B39" s="45"/>
      <x:c r="C39" s="45"/>
      <x:c r="D39" s="47"/>
      <x:c r="E39" s="47"/>
      <x:c r="F39" s="47"/>
      <x:c r="G39" s="46"/>
      <x:c r="H39" s="46"/>
      <x:c r="I39" s="46"/>
      <x:c r="J39" s="45"/>
      <x:c r="K39" s="45"/>
      <x:c r="L39" s="45"/>
      <x:c r="M39" s="45"/>
    </x:row>
    <x:row r="40">
      <x:c r="A40" s="45"/>
      <x:c r="B40" s="45"/>
      <x:c r="C40" s="45"/>
      <x:c r="D40" s="47"/>
      <x:c r="E40" s="47"/>
      <x:c r="F40" s="47"/>
      <x:c r="G40" s="46"/>
      <x:c r="H40" s="46"/>
      <x:c r="I40" s="46"/>
      <x:c r="J40" s="45"/>
      <x:c r="K40" s="45"/>
      <x:c r="L40" s="45"/>
      <x:c r="M40" s="45"/>
    </x:row>
    <x:row r="41">
      <x:c r="A41" s="45"/>
      <x:c r="B41" s="45"/>
      <x:c r="C41" s="45"/>
      <x:c r="D41" s="47"/>
      <x:c r="E41" s="47"/>
      <x:c r="F41" s="47"/>
      <x:c r="G41" s="46"/>
      <x:c r="H41" s="46"/>
      <x:c r="I41" s="46"/>
      <x:c r="J41" s="45"/>
      <x:c r="K41" s="45"/>
      <x:c r="L41" s="45"/>
      <x:c r="M41" s="45"/>
    </x:row>
    <x:row r="42">
      <x:c r="A42" s="45"/>
      <x:c r="B42" s="45"/>
      <x:c r="C42" s="45"/>
      <x:c r="D42" s="47"/>
      <x:c r="E42" s="47"/>
      <x:c r="F42" s="47"/>
      <x:c r="G42" s="46"/>
      <x:c r="H42" s="46"/>
      <x:c r="I42" s="46"/>
      <x:c r="J42" s="45"/>
      <x:c r="K42" s="45"/>
      <x:c r="L42" s="45"/>
      <x:c r="M42" s="45"/>
    </x:row>
    <x:row r="43">
      <x:c r="A43" s="45"/>
      <x:c r="B43" s="45"/>
      <x:c r="C43" s="45"/>
      <x:c r="D43" s="47"/>
      <x:c r="E43" s="47"/>
      <x:c r="F43" s="47"/>
      <x:c r="G43" s="46"/>
      <x:c r="H43" s="46"/>
      <x:c r="I43" s="46"/>
      <x:c r="J43" s="45"/>
      <x:c r="K43" s="45"/>
      <x:c r="L43" s="45"/>
      <x:c r="M43" s="45"/>
    </x:row>
    <x:row r="44">
      <x:c r="A44" s="45"/>
      <x:c r="B44" s="45"/>
      <x:c r="C44" s="45"/>
      <x:c r="D44" s="47"/>
      <x:c r="E44" s="47"/>
      <x:c r="F44" s="47"/>
      <x:c r="G44" s="46"/>
      <x:c r="H44" s="46"/>
      <x:c r="I44" s="46"/>
      <x:c r="J44" s="45"/>
      <x:c r="K44" s="45"/>
      <x:c r="L44" s="45"/>
      <x:c r="M44" s="45"/>
    </x:row>
    <x:row r="45">
      <x:c r="A45" s="45"/>
      <x:c r="B45" s="45"/>
      <x:c r="C45" s="45"/>
      <x:c r="D45" s="47"/>
      <x:c r="E45" s="47"/>
      <x:c r="F45" s="47"/>
      <x:c r="G45" s="46"/>
      <x:c r="H45" s="46"/>
      <x:c r="I45" s="46"/>
      <x:c r="J45" s="45"/>
      <x:c r="K45" s="45"/>
      <x:c r="L45" s="45"/>
      <x:c r="M45" s="45"/>
    </x:row>
    <x:row r="46">
      <x:c r="A46" s="45"/>
      <x:c r="B46" s="45"/>
      <x:c r="C46" s="45"/>
      <x:c r="D46" s="47"/>
      <x:c r="E46" s="47"/>
      <x:c r="F46" s="47"/>
      <x:c r="G46" s="46"/>
      <x:c r="H46" s="46"/>
      <x:c r="I46" s="46"/>
      <x:c r="J46" s="45"/>
      <x:c r="K46" s="45"/>
      <x:c r="L46" s="45"/>
      <x:c r="M46" s="45"/>
    </x:row>
    <x:row r="47">
      <x:c r="A47" s="45"/>
      <x:c r="B47" s="45"/>
      <x:c r="C47" s="45"/>
      <x:c r="D47" s="47"/>
      <x:c r="E47" s="47"/>
      <x:c r="F47" s="47"/>
      <x:c r="G47" s="46"/>
      <x:c r="H47" s="46"/>
      <x:c r="I47" s="46"/>
      <x:c r="J47" s="45"/>
      <x:c r="K47" s="45"/>
      <x:c r="L47" s="45"/>
      <x:c r="M47" s="45"/>
    </x:row>
    <x:row r="48">
      <x:c r="A48" s="45"/>
      <x:c r="B48" s="45"/>
      <x:c r="C48" s="45"/>
      <x:c r="D48" s="47"/>
      <x:c r="E48" s="47"/>
      <x:c r="F48" s="47"/>
      <x:c r="G48" s="46"/>
      <x:c r="H48" s="46"/>
      <x:c r="I48" s="46"/>
      <x:c r="J48" s="45"/>
      <x:c r="K48" s="45"/>
      <x:c r="L48" s="45"/>
      <x:c r="M48" s="45"/>
    </x:row>
    <x:row r="49">
      <x:c r="A49" s="45"/>
      <x:c r="B49" s="45"/>
      <x:c r="C49" s="45"/>
      <x:c r="D49" s="47"/>
      <x:c r="E49" s="47"/>
      <x:c r="F49" s="47"/>
      <x:c r="G49" s="46"/>
      <x:c r="H49" s="46"/>
      <x:c r="I49" s="46"/>
      <x:c r="J49" s="45"/>
      <x:c r="K49" s="45"/>
      <x:c r="L49" s="45"/>
      <x:c r="M49" s="45"/>
    </x:row>
    <x:row r="50">
      <x:c r="A50" s="45"/>
      <x:c r="B50" s="45"/>
      <x:c r="C50" s="45"/>
      <x:c r="D50" s="47"/>
      <x:c r="E50" s="47"/>
      <x:c r="F50" s="47"/>
      <x:c r="G50" s="46"/>
      <x:c r="H50" s="46"/>
      <x:c r="I50" s="46"/>
      <x:c r="J50" s="45"/>
      <x:c r="K50" s="45"/>
      <x:c r="L50" s="45"/>
      <x:c r="M50" s="45"/>
    </x:row>
    <x:row r="51">
      <x:c r="A51" s="45"/>
      <x:c r="B51" s="45"/>
      <x:c r="C51" s="45"/>
      <x:c r="D51" s="47"/>
      <x:c r="E51" s="47"/>
      <x:c r="F51" s="47"/>
      <x:c r="G51" s="46"/>
      <x:c r="H51" s="46"/>
      <x:c r="I51" s="46"/>
      <x:c r="J51" s="45"/>
      <x:c r="K51" s="45"/>
      <x:c r="L51" s="45"/>
      <x:c r="M51" s="45"/>
    </x:row>
    <x:row r="52">
      <x:c r="A52" s="45"/>
      <x:c r="B52" s="45"/>
      <x:c r="C52" s="45"/>
      <x:c r="D52" s="47"/>
      <x:c r="E52" s="47"/>
      <x:c r="F52" s="47"/>
      <x:c r="G52" s="46"/>
      <x:c r="H52" s="46"/>
      <x:c r="I52" s="46"/>
      <x:c r="J52" s="45"/>
      <x:c r="K52" s="45"/>
      <x:c r="L52" s="45"/>
      <x:c r="M52" s="45"/>
    </x:row>
    <x:row r="53">
      <x:c r="A53" s="45"/>
      <x:c r="B53" s="45"/>
      <x:c r="C53" s="45"/>
      <x:c r="D53" s="47"/>
      <x:c r="E53" s="47"/>
      <x:c r="F53" s="47"/>
      <x:c r="G53" s="46"/>
      <x:c r="H53" s="46"/>
      <x:c r="I53" s="46"/>
      <x:c r="J53" s="45"/>
      <x:c r="K53" s="45"/>
      <x:c r="L53" s="45"/>
      <x:c r="M53" s="45"/>
    </x:row>
    <x:row r="54">
      <x:c r="A54" s="45"/>
      <x:c r="B54" s="45"/>
      <x:c r="C54" s="45"/>
      <x:c r="D54" s="47"/>
      <x:c r="E54" s="47"/>
      <x:c r="F54" s="47"/>
      <x:c r="G54" s="46"/>
      <x:c r="H54" s="46"/>
      <x:c r="I54" s="46"/>
      <x:c r="J54" s="45"/>
      <x:c r="K54" s="45"/>
      <x:c r="L54" s="45"/>
      <x:c r="M54" s="45"/>
    </x:row>
    <x:row r="55">
      <x:c r="A55" s="45"/>
      <x:c r="B55" s="45"/>
      <x:c r="C55" s="45"/>
      <x:c r="D55" s="47"/>
      <x:c r="E55" s="47"/>
      <x:c r="F55" s="47"/>
      <x:c r="G55" s="46"/>
      <x:c r="H55" s="46"/>
      <x:c r="I55" s="46"/>
      <x:c r="J55" s="45"/>
      <x:c r="K55" s="45"/>
      <x:c r="L55" s="45"/>
      <x:c r="M55" s="45"/>
    </x:row>
    <x:row r="56">
      <x:c r="A56" s="45"/>
      <x:c r="B56" s="45"/>
      <x:c r="C56" s="45"/>
      <x:c r="D56" s="47"/>
      <x:c r="E56" s="47"/>
      <x:c r="F56" s="47"/>
      <x:c r="G56" s="46"/>
      <x:c r="H56" s="46"/>
      <x:c r="I56" s="46"/>
      <x:c r="J56" s="45"/>
      <x:c r="K56" s="45"/>
      <x:c r="L56" s="45"/>
      <x:c r="M56" s="45"/>
    </x:row>
    <x:row r="57">
      <x:c r="A57" s="45"/>
      <x:c r="B57" s="45"/>
      <x:c r="C57" s="45"/>
      <x:c r="D57" s="47"/>
      <x:c r="E57" s="47"/>
      <x:c r="F57" s="47"/>
      <x:c r="G57" s="46"/>
      <x:c r="H57" s="46"/>
      <x:c r="I57" s="46"/>
      <x:c r="J57" s="45"/>
      <x:c r="K57" s="45"/>
      <x:c r="L57" s="45"/>
      <x:c r="M57" s="45"/>
    </x:row>
    <x:row r="58">
      <x:c r="A58" s="45"/>
      <x:c r="B58" s="45"/>
      <x:c r="C58" s="45"/>
      <x:c r="D58" s="47"/>
      <x:c r="E58" s="47"/>
      <x:c r="F58" s="47"/>
      <x:c r="G58" s="46"/>
      <x:c r="H58" s="46"/>
      <x:c r="I58" s="46"/>
      <x:c r="J58" s="45"/>
      <x:c r="K58" s="45"/>
      <x:c r="L58" s="45"/>
      <x:c r="M58" s="45"/>
    </x:row>
    <x:row r="59">
      <x:c r="A59" s="45"/>
      <x:c r="B59" s="45"/>
      <x:c r="C59" s="45"/>
      <x:c r="D59" s="47"/>
      <x:c r="E59" s="47"/>
      <x:c r="F59" s="47"/>
      <x:c r="G59" s="46"/>
      <x:c r="H59" s="46"/>
      <x:c r="I59" s="46"/>
      <x:c r="J59" s="45"/>
      <x:c r="K59" s="45"/>
      <x:c r="L59" s="45"/>
      <x:c r="M59" s="45"/>
    </x:row>
    <x:row r="60">
      <x:c r="A60" s="45"/>
      <x:c r="B60" s="45"/>
      <x:c r="C60" s="45"/>
      <x:c r="D60" s="47"/>
      <x:c r="E60" s="47"/>
      <x:c r="F60" s="47"/>
      <x:c r="G60" s="46"/>
      <x:c r="H60" s="46"/>
      <x:c r="I60" s="46"/>
      <x:c r="J60" s="45"/>
      <x:c r="K60" s="45"/>
      <x:c r="L60" s="45"/>
      <x:c r="M60" s="45"/>
    </x:row>
    <x:row r="61">
      <x:c r="A61" s="45"/>
      <x:c r="B61" s="45"/>
      <x:c r="C61" s="45"/>
      <x:c r="D61" s="47"/>
      <x:c r="E61" s="47"/>
      <x:c r="F61" s="47"/>
      <x:c r="G61" s="46"/>
      <x:c r="H61" s="46"/>
      <x:c r="I61" s="46"/>
      <x:c r="J61" s="45"/>
      <x:c r="K61" s="45"/>
      <x:c r="L61" s="45"/>
      <x:c r="M61" s="45"/>
    </x:row>
    <x:row r="62">
      <x:c r="A62" s="45"/>
      <x:c r="B62" s="45"/>
      <x:c r="C62" s="45"/>
      <x:c r="D62" s="47"/>
      <x:c r="E62" s="47"/>
      <x:c r="F62" s="47"/>
      <x:c r="G62" s="46"/>
      <x:c r="H62" s="46"/>
      <x:c r="I62" s="46"/>
      <x:c r="J62" s="45"/>
      <x:c r="K62" s="45"/>
      <x:c r="L62" s="45"/>
      <x:c r="M62" s="45"/>
    </x:row>
    <x:row r="63">
      <x:c r="A63" s="45"/>
      <x:c r="B63" s="45"/>
      <x:c r="C63" s="45"/>
      <x:c r="D63" s="47"/>
      <x:c r="E63" s="47"/>
      <x:c r="F63" s="47"/>
      <x:c r="G63" s="46"/>
      <x:c r="H63" s="46"/>
      <x:c r="I63" s="46"/>
      <x:c r="J63" s="45"/>
      <x:c r="K63" s="45"/>
      <x:c r="L63" s="45"/>
      <x:c r="M63" s="45"/>
    </x:row>
    <x:row r="64">
      <x:c r="A64" s="45"/>
      <x:c r="B64" s="45"/>
      <x:c r="C64" s="45"/>
      <x:c r="D64" s="47"/>
      <x:c r="E64" s="47"/>
      <x:c r="F64" s="47"/>
      <x:c r="G64" s="46"/>
      <x:c r="H64" s="46"/>
      <x:c r="I64" s="46"/>
      <x:c r="J64" s="45"/>
      <x:c r="K64" s="45"/>
      <x:c r="L64" s="45"/>
      <x:c r="M64" s="45"/>
    </x:row>
    <x:row r="65">
      <x:c r="A65" s="45"/>
      <x:c r="B65" s="45"/>
      <x:c r="C65" s="45"/>
      <x:c r="D65" s="47"/>
      <x:c r="E65" s="47"/>
      <x:c r="F65" s="47"/>
      <x:c r="G65" s="46"/>
      <x:c r="H65" s="46"/>
      <x:c r="I65" s="46"/>
      <x:c r="J65" s="45"/>
      <x:c r="K65" s="45"/>
      <x:c r="L65" s="45"/>
      <x:c r="M65" s="45"/>
    </x:row>
    <x:row r="66">
      <x:c r="A66" s="45"/>
      <x:c r="B66" s="45"/>
      <x:c r="C66" s="45"/>
      <x:c r="D66" s="47"/>
      <x:c r="E66" s="47"/>
      <x:c r="F66" s="47"/>
      <x:c r="G66" s="46"/>
      <x:c r="H66" s="46"/>
      <x:c r="I66" s="46"/>
      <x:c r="J66" s="45"/>
      <x:c r="K66" s="45"/>
      <x:c r="L66" s="45"/>
      <x:c r="M66" s="45"/>
    </x:row>
    <x:row r="67">
      <x:c r="A67" s="45"/>
      <x:c r="B67" s="45"/>
      <x:c r="C67" s="45"/>
      <x:c r="D67" s="47"/>
      <x:c r="E67" s="47"/>
      <x:c r="F67" s="47"/>
      <x:c r="G67" s="46"/>
      <x:c r="H67" s="46"/>
      <x:c r="I67" s="46"/>
      <x:c r="J67" s="45"/>
      <x:c r="K67" s="45"/>
      <x:c r="L67" s="45"/>
      <x:c r="M67" s="45"/>
    </x:row>
    <x:row r="68">
      <x:c r="A68" s="45"/>
      <x:c r="B68" s="45"/>
      <x:c r="C68" s="45"/>
      <x:c r="D68" s="47"/>
      <x:c r="E68" s="47"/>
      <x:c r="F68" s="47"/>
      <x:c r="G68" s="46"/>
      <x:c r="H68" s="46"/>
      <x:c r="I68" s="46"/>
      <x:c r="J68" s="45"/>
      <x:c r="K68" s="45"/>
      <x:c r="L68" s="45"/>
      <x:c r="M68" s="45"/>
    </x:row>
    <x:row r="69">
      <x:c r="A69" s="45"/>
      <x:c r="B69" s="45"/>
      <x:c r="C69" s="45"/>
      <x:c r="D69" s="47"/>
      <x:c r="E69" s="47"/>
      <x:c r="F69" s="47"/>
      <x:c r="G69" s="46"/>
      <x:c r="H69" s="46"/>
      <x:c r="I69" s="46"/>
      <x:c r="J69" s="45"/>
      <x:c r="K69" s="45"/>
      <x:c r="L69" s="45"/>
      <x:c r="M69" s="45"/>
    </x:row>
    <x:row r="70">
      <x:c r="A70" s="45"/>
      <x:c r="B70" s="45"/>
      <x:c r="C70" s="45"/>
      <x:c r="D70" s="47"/>
      <x:c r="E70" s="47"/>
      <x:c r="F70" s="47"/>
      <x:c r="G70" s="46"/>
      <x:c r="H70" s="46"/>
      <x:c r="I70" s="46"/>
      <x:c r="J70" s="45"/>
      <x:c r="K70" s="45"/>
      <x:c r="L70" s="45"/>
      <x:c r="M70" s="45"/>
    </x:row>
    <x:row r="71">
      <x:c r="A71" s="45"/>
      <x:c r="B71" s="45"/>
      <x:c r="C71" s="45"/>
      <x:c r="D71" s="47"/>
      <x:c r="E71" s="47"/>
      <x:c r="F71" s="47"/>
      <x:c r="G71" s="46"/>
      <x:c r="H71" s="46"/>
      <x:c r="I71" s="46"/>
      <x:c r="J71" s="45"/>
      <x:c r="K71" s="45"/>
      <x:c r="L71" s="45"/>
      <x:c r="M71" s="45"/>
    </x:row>
    <x:row r="72">
      <x:c r="A72" s="45"/>
      <x:c r="B72" s="45"/>
      <x:c r="C72" s="45"/>
      <x:c r="D72" s="47"/>
      <x:c r="E72" s="47"/>
      <x:c r="F72" s="47"/>
      <x:c r="G72" s="46"/>
      <x:c r="H72" s="46"/>
      <x:c r="I72" s="46"/>
      <x:c r="J72" s="45"/>
      <x:c r="K72" s="45"/>
      <x:c r="L72" s="45"/>
      <x:c r="M72" s="45"/>
    </x:row>
    <x:row r="73">
      <x:c r="A73" s="45"/>
      <x:c r="B73" s="45"/>
      <x:c r="C73" s="45"/>
      <x:c r="D73" s="47"/>
      <x:c r="E73" s="47"/>
      <x:c r="F73" s="47"/>
      <x:c r="G73" s="46"/>
      <x:c r="H73" s="46"/>
      <x:c r="I73" s="46"/>
      <x:c r="J73" s="45"/>
      <x:c r="K73" s="45"/>
      <x:c r="L73" s="45"/>
      <x:c r="M73" s="45"/>
    </x:row>
    <x:row r="74">
      <x:c r="A74" s="45"/>
      <x:c r="B74" s="45"/>
      <x:c r="C74" s="45"/>
      <x:c r="D74" s="47"/>
      <x:c r="E74" s="47"/>
      <x:c r="F74" s="47"/>
      <x:c r="G74" s="46"/>
      <x:c r="H74" s="46"/>
      <x:c r="I74" s="46"/>
      <x:c r="J74" s="45"/>
      <x:c r="K74" s="45"/>
      <x:c r="L74" s="45"/>
      <x:c r="M74" s="45"/>
    </x:row>
    <x:row r="75">
      <x:c r="A75" s="45"/>
      <x:c r="B75" s="45"/>
      <x:c r="C75" s="45"/>
      <x:c r="D75" s="47"/>
      <x:c r="E75" s="47"/>
      <x:c r="F75" s="47"/>
      <x:c r="G75" s="46"/>
      <x:c r="H75" s="46"/>
      <x:c r="I75" s="46"/>
      <x:c r="J75" s="45"/>
      <x:c r="K75" s="45"/>
      <x:c r="L75" s="45"/>
      <x:c r="M75" s="45"/>
    </x:row>
    <x:row r="76">
      <x:c r="A76" s="45"/>
      <x:c r="B76" s="45"/>
      <x:c r="C76" s="45"/>
      <x:c r="D76" s="47"/>
      <x:c r="E76" s="47"/>
      <x:c r="F76" s="47"/>
      <x:c r="G76" s="46"/>
      <x:c r="H76" s="46"/>
      <x:c r="I76" s="46"/>
      <x:c r="J76" s="45"/>
      <x:c r="K76" s="45"/>
      <x:c r="L76" s="45"/>
      <x:c r="M76" s="45"/>
    </x:row>
    <x:row r="77">
      <x:c r="A77" s="45"/>
      <x:c r="B77" s="45"/>
      <x:c r="C77" s="45"/>
      <x:c r="D77" s="47"/>
      <x:c r="E77" s="47"/>
      <x:c r="F77" s="47"/>
      <x:c r="G77" s="46"/>
      <x:c r="H77" s="46"/>
      <x:c r="I77" s="46"/>
      <x:c r="J77" s="45"/>
      <x:c r="K77" s="45"/>
      <x:c r="L77" s="45"/>
      <x:c r="M77" s="45"/>
    </x:row>
    <x:row r="78">
      <x:c r="A78" s="45"/>
      <x:c r="B78" s="45"/>
      <x:c r="C78" s="45"/>
      <x:c r="D78" s="47"/>
      <x:c r="E78" s="47"/>
      <x:c r="F78" s="47"/>
      <x:c r="G78" s="46"/>
      <x:c r="H78" s="46"/>
      <x:c r="I78" s="46"/>
      <x:c r="J78" s="45"/>
      <x:c r="K78" s="45"/>
      <x:c r="L78" s="45"/>
      <x:c r="M78" s="45"/>
    </x:row>
    <x:row r="79">
      <x:c r="A79" s="45"/>
      <x:c r="B79" s="45"/>
      <x:c r="C79" s="45"/>
      <x:c r="D79" s="47"/>
      <x:c r="E79" s="47"/>
      <x:c r="F79" s="47"/>
      <x:c r="G79" s="46"/>
      <x:c r="H79" s="46"/>
      <x:c r="I79" s="46"/>
      <x:c r="J79" s="45"/>
      <x:c r="K79" s="45"/>
      <x:c r="L79" s="45"/>
      <x:c r="M79" s="45"/>
    </x:row>
    <x:row r="80">
      <x:c r="A80" s="45"/>
      <x:c r="B80" s="45"/>
      <x:c r="C80" s="45"/>
      <x:c r="D80" s="47"/>
      <x:c r="E80" s="47"/>
      <x:c r="F80" s="47"/>
      <x:c r="G80" s="46"/>
      <x:c r="H80" s="46"/>
      <x:c r="I80" s="46"/>
      <x:c r="J80" s="45"/>
      <x:c r="K80" s="45"/>
      <x:c r="L80" s="45"/>
      <x:c r="M80" s="45"/>
    </x:row>
    <x:row r="81">
      <x:c r="A81" s="45"/>
      <x:c r="B81" s="45"/>
      <x:c r="C81" s="45"/>
      <x:c r="D81" s="47"/>
      <x:c r="E81" s="47"/>
      <x:c r="F81" s="47"/>
      <x:c r="G81" s="46"/>
      <x:c r="H81" s="46"/>
      <x:c r="I81" s="46"/>
      <x:c r="J81" s="45"/>
      <x:c r="K81" s="45"/>
      <x:c r="L81" s="45"/>
      <x:c r="M81" s="45"/>
    </x:row>
    <x:row r="82">
      <x:c r="A82" s="45"/>
      <x:c r="B82" s="45"/>
      <x:c r="C82" s="45"/>
      <x:c r="D82" s="47"/>
      <x:c r="E82" s="47"/>
      <x:c r="F82" s="47"/>
      <x:c r="G82" s="46"/>
      <x:c r="H82" s="46"/>
      <x:c r="I82" s="46"/>
      <x:c r="J82" s="45"/>
      <x:c r="K82" s="45"/>
      <x:c r="L82" s="45"/>
      <x:c r="M82" s="45"/>
    </x:row>
    <x:row r="83">
      <x:c r="A83" s="45"/>
      <x:c r="B83" s="45"/>
      <x:c r="C83" s="45"/>
      <x:c r="D83" s="47"/>
      <x:c r="E83" s="47"/>
      <x:c r="F83" s="47"/>
      <x:c r="G83" s="46"/>
      <x:c r="H83" s="46"/>
      <x:c r="I83" s="46"/>
      <x:c r="J83" s="45"/>
      <x:c r="K83" s="45"/>
      <x:c r="L83" s="45"/>
      <x:c r="M83" s="45"/>
    </x:row>
    <x:row r="84">
      <x:c r="A84" s="45"/>
      <x:c r="B84" s="45"/>
      <x:c r="C84" s="45"/>
      <x:c r="D84" s="47"/>
      <x:c r="E84" s="47"/>
      <x:c r="F84" s="47"/>
      <x:c r="G84" s="46"/>
      <x:c r="H84" s="46"/>
      <x:c r="I84" s="46"/>
      <x:c r="J84" s="45"/>
      <x:c r="K84" s="45"/>
      <x:c r="L84" s="45"/>
      <x:c r="M84" s="45"/>
    </x:row>
    <x:row r="85">
      <x:c r="A85" s="45"/>
      <x:c r="B85" s="45"/>
      <x:c r="C85" s="45"/>
      <x:c r="D85" s="47"/>
      <x:c r="E85" s="47"/>
      <x:c r="F85" s="47"/>
      <x:c r="G85" s="46"/>
      <x:c r="H85" s="46"/>
      <x:c r="I85" s="46"/>
      <x:c r="J85" s="45"/>
      <x:c r="K85" s="45"/>
      <x:c r="L85" s="45"/>
      <x:c r="M85" s="45"/>
    </x:row>
    <x:row r="86">
      <x:c r="A86" s="45"/>
      <x:c r="B86" s="45"/>
      <x:c r="C86" s="45"/>
      <x:c r="D86" s="47"/>
      <x:c r="E86" s="47"/>
      <x:c r="F86" s="47"/>
      <x:c r="G86" s="46"/>
      <x:c r="H86" s="46"/>
      <x:c r="I86" s="46"/>
      <x:c r="J86" s="45"/>
      <x:c r="K86" s="45"/>
      <x:c r="L86" s="45"/>
      <x:c r="M86" s="45"/>
    </x:row>
    <x:row r="87">
      <x:c r="A87" s="45"/>
      <x:c r="B87" s="45"/>
      <x:c r="C87" s="45"/>
      <x:c r="D87" s="47"/>
      <x:c r="E87" s="47"/>
      <x:c r="F87" s="47"/>
      <x:c r="G87" s="46"/>
      <x:c r="H87" s="46"/>
      <x:c r="I87" s="46"/>
      <x:c r="J87" s="45"/>
      <x:c r="K87" s="45"/>
      <x:c r="L87" s="45"/>
      <x:c r="M87" s="45"/>
    </x:row>
    <x:row r="88">
      <x:c r="A88" s="45"/>
      <x:c r="B88" s="45"/>
      <x:c r="C88" s="45"/>
      <x:c r="D88" s="47"/>
      <x:c r="E88" s="47"/>
      <x:c r="F88" s="47"/>
      <x:c r="G88" s="46"/>
      <x:c r="H88" s="46"/>
      <x:c r="I88" s="46"/>
      <x:c r="J88" s="45"/>
      <x:c r="K88" s="45"/>
      <x:c r="L88" s="45"/>
      <x:c r="M88" s="45"/>
    </x:row>
    <x:row r="89">
      <x:c r="A89" s="45"/>
      <x:c r="B89" s="45"/>
      <x:c r="C89" s="45"/>
      <x:c r="D89" s="47"/>
      <x:c r="E89" s="47"/>
      <x:c r="F89" s="47"/>
      <x:c r="G89" s="46"/>
      <x:c r="H89" s="46"/>
      <x:c r="I89" s="46"/>
      <x:c r="J89" s="45"/>
      <x:c r="K89" s="45"/>
      <x:c r="L89" s="45"/>
      <x:c r="M89" s="45"/>
    </x:row>
    <x:row r="90">
      <x:c r="A90" s="45"/>
      <x:c r="B90" s="45"/>
      <x:c r="C90" s="45"/>
      <x:c r="D90" s="47"/>
      <x:c r="E90" s="47"/>
      <x:c r="F90" s="47"/>
      <x:c r="G90" s="46"/>
      <x:c r="H90" s="46"/>
      <x:c r="I90" s="46"/>
      <x:c r="J90" s="45"/>
      <x:c r="K90" s="45"/>
      <x:c r="L90" s="45"/>
      <x:c r="M90" s="45"/>
    </x:row>
    <x:row r="91">
      <x:c r="A91" s="45"/>
      <x:c r="B91" s="45"/>
      <x:c r="C91" s="45"/>
      <x:c r="D91" s="47"/>
      <x:c r="E91" s="47"/>
      <x:c r="F91" s="47"/>
      <x:c r="G91" s="46"/>
      <x:c r="H91" s="46"/>
      <x:c r="I91" s="46"/>
      <x:c r="J91" s="45"/>
      <x:c r="K91" s="45"/>
      <x:c r="L91" s="45"/>
      <x:c r="M91" s="45"/>
    </x:row>
    <x:row r="92">
      <x:c r="A92" s="45"/>
      <x:c r="B92" s="45"/>
      <x:c r="C92" s="45"/>
      <x:c r="D92" s="47"/>
      <x:c r="E92" s="47"/>
      <x:c r="F92" s="47"/>
      <x:c r="G92" s="46"/>
      <x:c r="H92" s="46"/>
      <x:c r="I92" s="46"/>
      <x:c r="J92" s="45"/>
      <x:c r="K92" s="45"/>
      <x:c r="L92" s="45"/>
      <x:c r="M92" s="45"/>
    </x:row>
    <x:row r="93">
      <x:c r="A93" s="45"/>
      <x:c r="B93" s="45"/>
      <x:c r="C93" s="45"/>
      <x:c r="D93" s="47"/>
      <x:c r="E93" s="47"/>
      <x:c r="F93" s="47"/>
      <x:c r="G93" s="46"/>
      <x:c r="H93" s="46"/>
      <x:c r="I93" s="46"/>
      <x:c r="J93" s="45"/>
      <x:c r="K93" s="45"/>
      <x:c r="L93" s="45"/>
      <x:c r="M93" s="45"/>
    </x:row>
    <x:row r="94">
      <x:c r="A94" s="45"/>
      <x:c r="B94" s="45"/>
      <x:c r="C94" s="45"/>
      <x:c r="D94" s="47"/>
      <x:c r="E94" s="47"/>
      <x:c r="F94" s="47"/>
      <x:c r="G94" s="46"/>
      <x:c r="H94" s="46"/>
      <x:c r="I94" s="46"/>
      <x:c r="J94" s="45"/>
      <x:c r="K94" s="45"/>
      <x:c r="L94" s="45"/>
      <x:c r="M94" s="45"/>
    </x:row>
    <x:row r="95">
      <x:c r="A95" s="45"/>
      <x:c r="B95" s="45"/>
      <x:c r="C95" s="45"/>
      <x:c r="D95" s="47"/>
      <x:c r="E95" s="47"/>
      <x:c r="F95" s="47"/>
      <x:c r="G95" s="46"/>
      <x:c r="H95" s="46"/>
      <x:c r="I95" s="46"/>
      <x:c r="J95" s="45"/>
      <x:c r="K95" s="45"/>
      <x:c r="L95" s="45"/>
      <x:c r="M95" s="45"/>
    </x:row>
    <x:row r="96">
      <x:c r="A96" s="45"/>
      <x:c r="B96" s="45"/>
      <x:c r="C96" s="45"/>
      <x:c r="D96" s="47"/>
      <x:c r="E96" s="47"/>
      <x:c r="F96" s="47"/>
      <x:c r="G96" s="46"/>
      <x:c r="H96" s="46"/>
      <x:c r="I96" s="46"/>
      <x:c r="J96" s="45"/>
      <x:c r="K96" s="45"/>
      <x:c r="L96" s="45"/>
      <x:c r="M96" s="45"/>
    </x:row>
    <x:row r="97">
      <x:c r="A97" s="45"/>
      <x:c r="B97" s="45"/>
      <x:c r="C97" s="45"/>
      <x:c r="D97" s="47"/>
      <x:c r="E97" s="47"/>
      <x:c r="F97" s="47"/>
      <x:c r="G97" s="46"/>
      <x:c r="H97" s="46"/>
      <x:c r="I97" s="46"/>
      <x:c r="J97" s="45"/>
      <x:c r="K97" s="45"/>
      <x:c r="L97" s="45"/>
      <x:c r="M97" s="45"/>
    </x:row>
    <x:row r="98">
      <x:c r="A98" s="45"/>
      <x:c r="B98" s="45"/>
      <x:c r="C98" s="45"/>
      <x:c r="D98" s="47"/>
      <x:c r="E98" s="47"/>
      <x:c r="F98" s="47"/>
      <x:c r="G98" s="46"/>
      <x:c r="H98" s="46"/>
      <x:c r="I98" s="46"/>
      <x:c r="J98" s="45"/>
      <x:c r="K98" s="45"/>
      <x:c r="L98" s="45"/>
      <x:c r="M98" s="45"/>
    </x:row>
    <x:row r="99">
      <x:c r="A99" s="45"/>
      <x:c r="B99" s="45"/>
      <x:c r="C99" s="45"/>
      <x:c r="D99" s="47"/>
      <x:c r="E99" s="47"/>
      <x:c r="F99" s="47"/>
      <x:c r="G99" s="46"/>
      <x:c r="H99" s="46"/>
      <x:c r="I99" s="46"/>
      <x:c r="J99" s="45"/>
      <x:c r="K99" s="45"/>
      <x:c r="L99" s="45"/>
      <x:c r="M99" s="45"/>
    </x:row>
    <x:row r="100">
      <x:c r="A100" s="45"/>
      <x:c r="B100" s="45"/>
      <x:c r="C100" s="45"/>
      <x:c r="D100" s="47"/>
      <x:c r="E100" s="47"/>
      <x:c r="F100" s="47"/>
      <x:c r="G100" s="46"/>
      <x:c r="H100" s="46"/>
      <x:c r="I100" s="46"/>
      <x:c r="J100" s="45"/>
      <x:c r="K100" s="45"/>
      <x:c r="L100" s="45"/>
      <x:c r="M100" s="45"/>
    </x:row>
    <x:row r="101">
      <x:c r="A101" s="45"/>
      <x:c r="B101" s="45"/>
      <x:c r="C101" s="45"/>
      <x:c r="D101" s="47"/>
      <x:c r="E101" s="47"/>
      <x:c r="F101" s="47"/>
      <x:c r="G101" s="46"/>
      <x:c r="H101" s="46"/>
      <x:c r="I101" s="46"/>
      <x:c r="J101" s="45"/>
      <x:c r="K101" s="45"/>
      <x:c r="L101" s="45"/>
      <x:c r="M101" s="45"/>
    </x:row>
    <x:row r="102">
      <x:c r="A102" s="45"/>
      <x:c r="B102" s="45"/>
      <x:c r="C102" s="45"/>
      <x:c r="D102" s="47"/>
      <x:c r="E102" s="47"/>
      <x:c r="F102" s="47"/>
      <x:c r="G102" s="46"/>
      <x:c r="H102" s="46"/>
      <x:c r="I102" s="46"/>
      <x:c r="J102" s="45"/>
      <x:c r="K102" s="45"/>
      <x:c r="L102" s="45"/>
      <x:c r="M102" s="45"/>
    </x:row>
    <x:row r="103">
      <x:c r="A103" s="45"/>
      <x:c r="B103" s="45"/>
      <x:c r="C103" s="45"/>
      <x:c r="D103" s="47"/>
      <x:c r="E103" s="47"/>
      <x:c r="F103" s="47"/>
      <x:c r="G103" s="46"/>
      <x:c r="H103" s="46"/>
      <x:c r="I103" s="46"/>
      <x:c r="J103" s="45"/>
      <x:c r="K103" s="45"/>
      <x:c r="L103" s="45"/>
      <x:c r="M103" s="45"/>
    </x:row>
    <x:row r="104">
      <x:c r="A104" s="45"/>
      <x:c r="B104" s="45"/>
      <x:c r="C104" s="45"/>
      <x:c r="D104" s="47"/>
      <x:c r="E104" s="47"/>
      <x:c r="F104" s="47"/>
      <x:c r="G104" s="46"/>
      <x:c r="H104" s="46"/>
      <x:c r="I104" s="46"/>
      <x:c r="J104" s="45"/>
      <x:c r="K104" s="45"/>
      <x:c r="L104" s="45"/>
      <x:c r="M104" s="45"/>
    </x:row>
    <x:row r="105">
      <x:c r="A105" s="45"/>
      <x:c r="B105" s="45"/>
      <x:c r="C105" s="45"/>
      <x:c r="D105" s="47"/>
      <x:c r="E105" s="47"/>
      <x:c r="F105" s="47"/>
      <x:c r="G105" s="46"/>
      <x:c r="H105" s="46"/>
      <x:c r="I105" s="46"/>
      <x:c r="J105" s="45"/>
      <x:c r="K105" s="45"/>
      <x:c r="L105" s="45"/>
      <x:c r="M105" s="45"/>
    </x:row>
    <x:row r="106">
      <x:c r="A106" s="45"/>
      <x:c r="B106" s="45"/>
      <x:c r="C106" s="45"/>
      <x:c r="D106" s="47"/>
      <x:c r="E106" s="47"/>
      <x:c r="F106" s="47"/>
      <x:c r="G106" s="46"/>
      <x:c r="H106" s="46"/>
      <x:c r="I106" s="46"/>
      <x:c r="J106" s="45"/>
      <x:c r="K106" s="45"/>
      <x:c r="L106" s="45"/>
      <x:c r="M106" s="45"/>
    </x:row>
    <x:row r="107">
      <x:c r="A107" s="45"/>
      <x:c r="B107" s="45"/>
      <x:c r="C107" s="45"/>
      <x:c r="D107" s="47"/>
      <x:c r="E107" s="47"/>
      <x:c r="F107" s="47"/>
      <x:c r="G107" s="46"/>
      <x:c r="H107" s="46"/>
      <x:c r="I107" s="46"/>
      <x:c r="J107" s="45"/>
      <x:c r="K107" s="45"/>
      <x:c r="L107" s="45"/>
      <x:c r="M107" s="45"/>
    </x:row>
    <x:row r="108">
      <x:c r="A108" s="45"/>
      <x:c r="B108" s="45"/>
      <x:c r="C108" s="45"/>
      <x:c r="D108" s="47"/>
      <x:c r="E108" s="47"/>
      <x:c r="F108" s="47"/>
      <x:c r="G108" s="46"/>
      <x:c r="H108" s="46"/>
      <x:c r="I108" s="46"/>
      <x:c r="J108" s="45"/>
      <x:c r="K108" s="45"/>
      <x:c r="L108" s="45"/>
      <x:c r="M108" s="45"/>
    </x:row>
    <x:row r="109">
      <x:c r="A109" s="45"/>
      <x:c r="B109" s="45"/>
      <x:c r="C109" s="45"/>
      <x:c r="D109" s="47"/>
      <x:c r="E109" s="47"/>
      <x:c r="F109" s="47"/>
      <x:c r="G109" s="46"/>
      <x:c r="H109" s="46"/>
      <x:c r="I109" s="46"/>
      <x:c r="J109" s="45"/>
      <x:c r="K109" s="45"/>
      <x:c r="L109" s="45"/>
      <x:c r="M109" s="45"/>
    </x:row>
    <x:row r="110">
      <x:c r="A110" s="45"/>
      <x:c r="B110" s="45"/>
      <x:c r="C110" s="45"/>
      <x:c r="D110" s="47"/>
      <x:c r="E110" s="47"/>
      <x:c r="F110" s="47"/>
      <x:c r="G110" s="46"/>
      <x:c r="H110" s="46"/>
      <x:c r="I110" s="46"/>
      <x:c r="J110" s="45"/>
      <x:c r="K110" s="45"/>
      <x:c r="L110" s="45"/>
      <x:c r="M110" s="45"/>
    </x:row>
    <x:row r="111">
      <x:c r="A111" s="45"/>
      <x:c r="B111" s="45"/>
      <x:c r="C111" s="45"/>
      <x:c r="D111" s="47"/>
      <x:c r="E111" s="47"/>
      <x:c r="F111" s="47"/>
      <x:c r="G111" s="46"/>
      <x:c r="H111" s="46"/>
      <x:c r="I111" s="46"/>
      <x:c r="J111" s="45"/>
      <x:c r="K111" s="45"/>
      <x:c r="L111" s="45"/>
      <x:c r="M111" s="45"/>
    </x:row>
    <x:row r="112">
      <x:c r="A112" s="45"/>
      <x:c r="B112" s="45"/>
      <x:c r="C112" s="45"/>
      <x:c r="D112" s="47"/>
      <x:c r="E112" s="47"/>
      <x:c r="F112" s="47"/>
      <x:c r="G112" s="46"/>
      <x:c r="H112" s="46"/>
      <x:c r="I112" s="46"/>
      <x:c r="J112" s="45"/>
      <x:c r="K112" s="45"/>
      <x:c r="L112" s="45"/>
      <x:c r="M112" s="45"/>
    </x:row>
    <x:row r="113">
      <x:c r="A113" s="45"/>
      <x:c r="B113" s="45"/>
      <x:c r="C113" s="45"/>
      <x:c r="D113" s="47"/>
      <x:c r="E113" s="47"/>
      <x:c r="F113" s="47"/>
      <x:c r="G113" s="46"/>
      <x:c r="H113" s="46"/>
      <x:c r="I113" s="46"/>
      <x:c r="J113" s="45"/>
      <x:c r="K113" s="45"/>
      <x:c r="L113" s="45"/>
      <x:c r="M113" s="45"/>
    </x:row>
    <x:row r="114">
      <x:c r="A114" s="45"/>
      <x:c r="B114" s="45"/>
      <x:c r="C114" s="45"/>
      <x:c r="D114" s="47"/>
      <x:c r="E114" s="47"/>
      <x:c r="F114" s="47"/>
      <x:c r="G114" s="46"/>
      <x:c r="H114" s="46"/>
      <x:c r="I114" s="46"/>
      <x:c r="J114" s="45"/>
      <x:c r="K114" s="45"/>
      <x:c r="L114" s="45"/>
      <x:c r="M114" s="45"/>
    </x:row>
    <x:row r="115">
      <x:c r="A115" s="45"/>
      <x:c r="B115" s="45"/>
      <x:c r="C115" s="45"/>
      <x:c r="D115" s="47"/>
      <x:c r="E115" s="47"/>
      <x:c r="F115" s="47"/>
      <x:c r="G115" s="46"/>
      <x:c r="H115" s="46"/>
      <x:c r="I115" s="46"/>
      <x:c r="J115" s="45"/>
      <x:c r="K115" s="45"/>
      <x:c r="L115" s="45"/>
      <x:c r="M115" s="45"/>
    </x:row>
    <x:row r="116">
      <x:c r="A116" s="45"/>
      <x:c r="B116" s="45"/>
      <x:c r="C116" s="45"/>
      <x:c r="D116" s="47"/>
      <x:c r="E116" s="47"/>
      <x:c r="F116" s="47"/>
      <x:c r="G116" s="46"/>
      <x:c r="H116" s="46"/>
      <x:c r="I116" s="46"/>
      <x:c r="J116" s="45"/>
      <x:c r="K116" s="45"/>
      <x:c r="L116" s="45"/>
      <x:c r="M116" s="45"/>
    </x:row>
    <x:row r="117">
      <x:c r="A117" s="45"/>
      <x:c r="B117" s="45"/>
      <x:c r="C117" s="45"/>
      <x:c r="D117" s="47"/>
      <x:c r="E117" s="47"/>
      <x:c r="F117" s="47"/>
      <x:c r="G117" s="46"/>
      <x:c r="H117" s="46"/>
      <x:c r="I117" s="46"/>
      <x:c r="J117" s="45"/>
      <x:c r="K117" s="45"/>
      <x:c r="L117" s="45"/>
      <x:c r="M117" s="45"/>
    </x:row>
    <x:row r="118">
      <x:c r="A118" s="45"/>
      <x:c r="B118" s="45"/>
      <x:c r="C118" s="45"/>
      <x:c r="D118" s="47"/>
      <x:c r="E118" s="47"/>
      <x:c r="F118" s="47"/>
      <x:c r="G118" s="46"/>
      <x:c r="H118" s="46"/>
      <x:c r="I118" s="46"/>
      <x:c r="J118" s="45"/>
      <x:c r="K118" s="45"/>
      <x:c r="L118" s="45"/>
      <x:c r="M118" s="45"/>
    </x:row>
    <x:row r="119">
      <x:c r="A119" s="45"/>
      <x:c r="B119" s="45"/>
      <x:c r="C119" s="45"/>
      <x:c r="D119" s="47"/>
      <x:c r="E119" s="47"/>
      <x:c r="F119" s="47"/>
      <x:c r="G119" s="46"/>
      <x:c r="H119" s="46"/>
      <x:c r="I119" s="46"/>
      <x:c r="J119" s="45"/>
      <x:c r="K119" s="45"/>
      <x:c r="L119" s="45"/>
      <x:c r="M119" s="45"/>
    </x:row>
    <x:row r="120">
      <x:c r="A120" s="45"/>
      <x:c r="B120" s="45"/>
      <x:c r="C120" s="45"/>
      <x:c r="D120" s="47"/>
      <x:c r="E120" s="47"/>
      <x:c r="F120" s="47"/>
      <x:c r="G120" s="46"/>
      <x:c r="H120" s="46"/>
      <x:c r="I120" s="46"/>
      <x:c r="J120" s="45"/>
      <x:c r="K120" s="45"/>
      <x:c r="L120" s="45"/>
      <x:c r="M120" s="45"/>
    </x:row>
    <x:row r="121">
      <x:c r="A121" s="45"/>
      <x:c r="B121" s="45"/>
      <x:c r="C121" s="45"/>
      <x:c r="D121" s="47"/>
      <x:c r="E121" s="47"/>
      <x:c r="F121" s="47"/>
      <x:c r="G121" s="46"/>
      <x:c r="H121" s="46"/>
      <x:c r="I121" s="46"/>
      <x:c r="J121" s="45"/>
      <x:c r="K121" s="45"/>
      <x:c r="L121" s="45"/>
      <x:c r="M121" s="45"/>
    </x:row>
    <x:row r="122">
      <x:c r="A122" s="45"/>
      <x:c r="B122" s="45"/>
      <x:c r="C122" s="45"/>
      <x:c r="D122" s="47"/>
      <x:c r="E122" s="47"/>
      <x:c r="F122" s="47"/>
      <x:c r="G122" s="46"/>
      <x:c r="H122" s="46"/>
      <x:c r="I122" s="46"/>
      <x:c r="J122" s="45"/>
      <x:c r="K122" s="45"/>
      <x:c r="L122" s="45"/>
      <x:c r="M122" s="45"/>
    </x:row>
    <x:row r="123">
      <x:c r="A123" s="45"/>
      <x:c r="B123" s="45"/>
      <x:c r="C123" s="45"/>
      <x:c r="D123" s="47"/>
      <x:c r="E123" s="47"/>
      <x:c r="F123" s="47"/>
      <x:c r="G123" s="46"/>
      <x:c r="H123" s="46"/>
      <x:c r="I123" s="46"/>
      <x:c r="J123" s="45"/>
      <x:c r="K123" s="45"/>
      <x:c r="L123" s="45"/>
      <x:c r="M123" s="45"/>
    </x:row>
    <x:row r="124">
      <x:c r="A124" s="45"/>
      <x:c r="B124" s="45"/>
      <x:c r="C124" s="45"/>
      <x:c r="D124" s="47"/>
      <x:c r="E124" s="47"/>
      <x:c r="F124" s="47"/>
      <x:c r="G124" s="46"/>
      <x:c r="H124" s="46"/>
      <x:c r="I124" s="46"/>
      <x:c r="J124" s="45"/>
      <x:c r="K124" s="45"/>
      <x:c r="L124" s="45"/>
      <x:c r="M124" s="45"/>
    </x:row>
    <x:row r="125">
      <x:c r="A125" s="45"/>
      <x:c r="B125" s="45"/>
      <x:c r="C125" s="45"/>
      <x:c r="D125" s="47"/>
      <x:c r="E125" s="47"/>
      <x:c r="F125" s="47"/>
      <x:c r="G125" s="46"/>
      <x:c r="H125" s="46"/>
      <x:c r="I125" s="46"/>
      <x:c r="J125" s="45"/>
      <x:c r="K125" s="45"/>
      <x:c r="L125" s="45"/>
      <x:c r="M125" s="45"/>
    </x:row>
    <x:row r="126">
      <x:c r="A126" s="45"/>
      <x:c r="B126" s="45"/>
      <x:c r="C126" s="45"/>
      <x:c r="D126" s="47"/>
      <x:c r="E126" s="47"/>
      <x:c r="F126" s="47"/>
      <x:c r="G126" s="46"/>
      <x:c r="H126" s="46"/>
      <x:c r="I126" s="46"/>
      <x:c r="J126" s="45"/>
      <x:c r="K126" s="45"/>
      <x:c r="L126" s="45"/>
      <x:c r="M126" s="45"/>
    </x:row>
    <x:row r="127">
      <x:c r="A127" s="45"/>
      <x:c r="B127" s="45"/>
      <x:c r="C127" s="45"/>
      <x:c r="D127" s="47"/>
      <x:c r="E127" s="47"/>
      <x:c r="F127" s="47"/>
      <x:c r="G127" s="46"/>
      <x:c r="H127" s="46"/>
      <x:c r="I127" s="46"/>
      <x:c r="J127" s="45"/>
      <x:c r="K127" s="45"/>
      <x:c r="L127" s="45"/>
      <x:c r="M127" s="45"/>
    </x:row>
    <x:row r="128">
      <x:c r="A128" s="45"/>
      <x:c r="B128" s="45"/>
      <x:c r="C128" s="45"/>
      <x:c r="D128" s="47"/>
      <x:c r="E128" s="47"/>
      <x:c r="F128" s="47"/>
      <x:c r="G128" s="46"/>
      <x:c r="H128" s="46"/>
      <x:c r="I128" s="46"/>
      <x:c r="J128" s="45"/>
      <x:c r="K128" s="45"/>
      <x:c r="L128" s="45"/>
      <x:c r="M128" s="45"/>
    </x:row>
    <x:row r="129">
      <x:c r="A129" s="45"/>
      <x:c r="B129" s="45"/>
      <x:c r="C129" s="45"/>
      <x:c r="D129" s="47"/>
      <x:c r="E129" s="47"/>
      <x:c r="F129" s="47"/>
      <x:c r="G129" s="46"/>
      <x:c r="H129" s="46"/>
      <x:c r="I129" s="46"/>
      <x:c r="J129" s="45"/>
      <x:c r="K129" s="45"/>
      <x:c r="L129" s="45"/>
      <x:c r="M129" s="45"/>
    </x:row>
    <x:row r="130">
      <x:c r="A130" s="45"/>
      <x:c r="B130" s="45"/>
      <x:c r="C130" s="45"/>
      <x:c r="D130" s="47"/>
      <x:c r="E130" s="47"/>
      <x:c r="F130" s="47"/>
      <x:c r="G130" s="46"/>
      <x:c r="H130" s="46"/>
      <x:c r="I130" s="46"/>
      <x:c r="J130" s="45"/>
      <x:c r="K130" s="45"/>
      <x:c r="L130" s="45"/>
      <x:c r="M130" s="45"/>
    </x:row>
    <x:row r="131">
      <x:c r="A131" s="45"/>
      <x:c r="B131" s="45"/>
      <x:c r="C131" s="45"/>
      <x:c r="D131" s="47"/>
      <x:c r="E131" s="47"/>
      <x:c r="F131" s="47"/>
      <x:c r="G131" s="46"/>
      <x:c r="H131" s="46"/>
      <x:c r="I131" s="46"/>
      <x:c r="J131" s="45"/>
      <x:c r="K131" s="45"/>
      <x:c r="L131" s="45"/>
      <x:c r="M131" s="45"/>
    </x:row>
    <x:row r="132">
      <x:c r="A132" s="45"/>
      <x:c r="B132" s="45"/>
      <x:c r="C132" s="45"/>
      <x:c r="D132" s="47"/>
      <x:c r="E132" s="47"/>
      <x:c r="F132" s="47"/>
      <x:c r="G132" s="46"/>
      <x:c r="H132" s="46"/>
      <x:c r="I132" s="46"/>
      <x:c r="J132" s="45"/>
      <x:c r="K132" s="45"/>
      <x:c r="L132" s="45"/>
      <x:c r="M132" s="45"/>
    </x:row>
    <x:row r="133">
      <x:c r="A133" s="45"/>
      <x:c r="B133" s="45"/>
      <x:c r="C133" s="45"/>
      <x:c r="D133" s="47"/>
      <x:c r="E133" s="47"/>
      <x:c r="F133" s="47"/>
      <x:c r="G133" s="46"/>
      <x:c r="H133" s="46"/>
      <x:c r="I133" s="46"/>
      <x:c r="J133" s="45"/>
      <x:c r="K133" s="45"/>
      <x:c r="L133" s="45"/>
      <x:c r="M133" s="45"/>
    </x:row>
    <x:row r="134">
      <x:c r="A134" s="45"/>
      <x:c r="B134" s="45"/>
      <x:c r="C134" s="45"/>
      <x:c r="D134" s="47"/>
      <x:c r="E134" s="47"/>
      <x:c r="F134" s="47"/>
      <x:c r="G134" s="46"/>
      <x:c r="H134" s="46"/>
      <x:c r="I134" s="46"/>
      <x:c r="J134" s="45"/>
      <x:c r="K134" s="45"/>
      <x:c r="L134" s="45"/>
      <x:c r="M134" s="45"/>
    </x:row>
    <x:row r="135">
      <x:c r="A135" s="45"/>
      <x:c r="B135" s="45"/>
      <x:c r="C135" s="45"/>
      <x:c r="D135" s="47"/>
      <x:c r="E135" s="47"/>
      <x:c r="F135" s="47"/>
      <x:c r="G135" s="46"/>
      <x:c r="H135" s="46"/>
      <x:c r="I135" s="46"/>
      <x:c r="J135" s="45"/>
      <x:c r="K135" s="45"/>
      <x:c r="L135" s="45"/>
      <x:c r="M135" s="45"/>
    </x:row>
    <x:row r="136">
      <x:c r="A136" s="45"/>
      <x:c r="B136" s="45"/>
      <x:c r="C136" s="45"/>
      <x:c r="D136" s="47"/>
      <x:c r="E136" s="47"/>
      <x:c r="F136" s="47"/>
      <x:c r="G136" s="46"/>
      <x:c r="H136" s="46"/>
      <x:c r="I136" s="46"/>
      <x:c r="J136" s="45"/>
      <x:c r="K136" s="45"/>
      <x:c r="L136" s="45"/>
      <x:c r="M136" s="45"/>
    </x:row>
    <x:row r="137">
      <x:c r="A137" s="45"/>
      <x:c r="B137" s="45"/>
      <x:c r="C137" s="45"/>
      <x:c r="D137" s="47"/>
      <x:c r="E137" s="47"/>
      <x:c r="F137" s="47"/>
      <x:c r="G137" s="46"/>
      <x:c r="H137" s="46"/>
      <x:c r="I137" s="46"/>
      <x:c r="J137" s="45"/>
      <x:c r="K137" s="45"/>
      <x:c r="L137" s="45"/>
      <x:c r="M137" s="45"/>
    </x:row>
    <x:row r="138">
      <x:c r="A138" s="45"/>
      <x:c r="B138" s="45"/>
      <x:c r="C138" s="45"/>
      <x:c r="D138" s="47"/>
      <x:c r="E138" s="47"/>
      <x:c r="F138" s="47"/>
      <x:c r="G138" s="46"/>
      <x:c r="H138" s="46"/>
      <x:c r="I138" s="46"/>
      <x:c r="J138" s="45"/>
      <x:c r="K138" s="45"/>
      <x:c r="L138" s="45"/>
      <x:c r="M138" s="45"/>
    </x:row>
    <x:row r="139">
      <x:c r="A139" s="45"/>
      <x:c r="B139" s="45"/>
      <x:c r="C139" s="45"/>
      <x:c r="D139" s="47"/>
      <x:c r="E139" s="47"/>
      <x:c r="F139" s="47"/>
      <x:c r="G139" s="46"/>
      <x:c r="H139" s="46"/>
      <x:c r="I139" s="46"/>
      <x:c r="J139" s="45"/>
      <x:c r="K139" s="45"/>
      <x:c r="L139" s="45"/>
      <x:c r="M139" s="45"/>
    </x:row>
    <x:row r="140">
      <x:c r="A140" s="45"/>
      <x:c r="B140" s="45"/>
      <x:c r="C140" s="45"/>
      <x:c r="D140" s="47"/>
      <x:c r="E140" s="47"/>
      <x:c r="F140" s="47"/>
      <x:c r="G140" s="46"/>
      <x:c r="H140" s="46"/>
      <x:c r="I140" s="46"/>
      <x:c r="J140" s="45"/>
      <x:c r="K140" s="45"/>
      <x:c r="L140" s="45"/>
      <x:c r="M140" s="45"/>
    </x:row>
    <x:row r="141">
      <x:c r="A141" s="45"/>
      <x:c r="B141" s="45"/>
      <x:c r="C141" s="45"/>
      <x:c r="D141" s="47"/>
      <x:c r="E141" s="47"/>
      <x:c r="F141" s="47"/>
      <x:c r="G141" s="46"/>
      <x:c r="H141" s="46"/>
      <x:c r="I141" s="46"/>
      <x:c r="J141" s="45"/>
      <x:c r="K141" s="45"/>
      <x:c r="L141" s="45"/>
      <x:c r="M141" s="45"/>
    </x:row>
    <x:row r="142">
      <x:c r="A142" s="45"/>
      <x:c r="B142" s="45"/>
      <x:c r="C142" s="45"/>
      <x:c r="D142" s="47"/>
      <x:c r="E142" s="47"/>
      <x:c r="F142" s="47"/>
      <x:c r="G142" s="46"/>
      <x:c r="H142" s="46"/>
      <x:c r="I142" s="46"/>
      <x:c r="J142" s="45"/>
      <x:c r="K142" s="45"/>
      <x:c r="L142" s="45"/>
      <x:c r="M142" s="45"/>
    </x:row>
    <x:row r="143">
      <x:c r="A143" s="45"/>
      <x:c r="B143" s="45"/>
      <x:c r="C143" s="45"/>
      <x:c r="D143" s="47"/>
      <x:c r="E143" s="47"/>
      <x:c r="F143" s="47"/>
      <x:c r="G143" s="46"/>
      <x:c r="H143" s="46"/>
      <x:c r="I143" s="46"/>
      <x:c r="J143" s="45"/>
      <x:c r="K143" s="45"/>
      <x:c r="L143" s="45"/>
      <x:c r="M143" s="45"/>
    </x:row>
    <x:row r="144">
      <x:c r="A144" s="45"/>
      <x:c r="B144" s="45"/>
      <x:c r="C144" s="45"/>
      <x:c r="D144" s="47"/>
      <x:c r="E144" s="47"/>
      <x:c r="F144" s="47"/>
      <x:c r="G144" s="46"/>
      <x:c r="H144" s="46"/>
      <x:c r="I144" s="46"/>
      <x:c r="J144" s="45"/>
      <x:c r="K144" s="45"/>
      <x:c r="L144" s="45"/>
      <x:c r="M144" s="45"/>
    </x:row>
    <x:row r="145">
      <x:c r="A145" s="45"/>
      <x:c r="B145" s="45"/>
      <x:c r="C145" s="45"/>
      <x:c r="D145" s="47"/>
      <x:c r="E145" s="47"/>
      <x:c r="F145" s="47"/>
      <x:c r="G145" s="46"/>
      <x:c r="H145" s="46"/>
      <x:c r="I145" s="46"/>
      <x:c r="J145" s="45"/>
      <x:c r="K145" s="45"/>
      <x:c r="L145" s="45"/>
      <x:c r="M145" s="45"/>
    </x:row>
    <x:row r="146">
      <x:c r="A146" s="45"/>
      <x:c r="B146" s="45"/>
      <x:c r="C146" s="45"/>
      <x:c r="D146" s="47"/>
      <x:c r="E146" s="47"/>
      <x:c r="F146" s="47"/>
      <x:c r="G146" s="46"/>
      <x:c r="H146" s="46"/>
      <x:c r="I146" s="46"/>
      <x:c r="J146" s="45"/>
      <x:c r="K146" s="45"/>
      <x:c r="L146" s="45"/>
      <x:c r="M146" s="45"/>
    </x:row>
    <x:row r="147">
      <x:c r="A147" s="45"/>
      <x:c r="B147" s="45"/>
      <x:c r="C147" s="45"/>
      <x:c r="D147" s="47"/>
      <x:c r="E147" s="47"/>
      <x:c r="F147" s="47"/>
      <x:c r="G147" s="46"/>
      <x:c r="H147" s="46"/>
      <x:c r="I147" s="46"/>
      <x:c r="J147" s="45"/>
      <x:c r="K147" s="45"/>
      <x:c r="L147" s="45"/>
      <x:c r="M147" s="45"/>
    </x:row>
    <x:row r="148">
      <x:c r="A148" s="45"/>
      <x:c r="B148" s="45"/>
      <x:c r="C148" s="45"/>
      <x:c r="D148" s="47"/>
      <x:c r="E148" s="47"/>
      <x:c r="F148" s="47"/>
      <x:c r="G148" s="46"/>
      <x:c r="H148" s="46"/>
      <x:c r="I148" s="46"/>
      <x:c r="J148" s="45"/>
      <x:c r="K148" s="45"/>
      <x:c r="L148" s="45"/>
      <x:c r="M148" s="45"/>
    </x:row>
    <x:row r="149">
      <x:c r="A149" s="45"/>
      <x:c r="B149" s="45"/>
      <x:c r="C149" s="45"/>
      <x:c r="D149" s="47"/>
      <x:c r="E149" s="47"/>
      <x:c r="F149" s="47"/>
      <x:c r="G149" s="46"/>
      <x:c r="H149" s="46"/>
      <x:c r="I149" s="46"/>
      <x:c r="J149" s="45"/>
      <x:c r="K149" s="45"/>
      <x:c r="L149" s="45"/>
      <x:c r="M149" s="45"/>
    </x:row>
    <x:row r="150">
      <x:c r="A150" s="45"/>
      <x:c r="B150" s="45"/>
      <x:c r="C150" s="45"/>
      <x:c r="D150" s="47"/>
      <x:c r="E150" s="47"/>
      <x:c r="F150" s="47"/>
      <x:c r="G150" s="46"/>
      <x:c r="H150" s="46"/>
      <x:c r="I150" s="46"/>
      <x:c r="J150" s="45"/>
      <x:c r="K150" s="45"/>
      <x:c r="L150" s="45"/>
      <x:c r="M150" s="45"/>
    </x:row>
    <x:row r="151">
      <x:c r="A151" s="45"/>
      <x:c r="B151" s="45"/>
      <x:c r="C151" s="45"/>
      <x:c r="D151" s="47"/>
      <x:c r="E151" s="47"/>
      <x:c r="F151" s="47"/>
      <x:c r="G151" s="46"/>
      <x:c r="H151" s="46"/>
      <x:c r="I151" s="46"/>
      <x:c r="J151" s="45"/>
      <x:c r="K151" s="45"/>
      <x:c r="L151" s="45"/>
      <x:c r="M151" s="45"/>
    </x:row>
    <x:row r="152">
      <x:c r="A152" s="45"/>
      <x:c r="B152" s="45"/>
      <x:c r="C152" s="45"/>
      <x:c r="D152" s="47"/>
      <x:c r="E152" s="47"/>
      <x:c r="F152" s="47"/>
      <x:c r="G152" s="46"/>
      <x:c r="H152" s="46"/>
      <x:c r="I152" s="46"/>
      <x:c r="J152" s="45"/>
      <x:c r="K152" s="45"/>
      <x:c r="L152" s="45"/>
      <x:c r="M152" s="45"/>
    </x:row>
    <x:row r="153">
      <x:c r="A153" s="45"/>
      <x:c r="B153" s="45"/>
      <x:c r="C153" s="45"/>
      <x:c r="D153" s="47"/>
      <x:c r="E153" s="47"/>
      <x:c r="F153" s="47"/>
      <x:c r="G153" s="46"/>
      <x:c r="H153" s="46"/>
      <x:c r="I153" s="46"/>
      <x:c r="J153" s="45"/>
      <x:c r="K153" s="45"/>
      <x:c r="L153" s="45"/>
      <x:c r="M153" s="45"/>
    </x:row>
    <x:row r="154">
      <x:c r="A154" s="45"/>
      <x:c r="B154" s="45"/>
      <x:c r="C154" s="45"/>
      <x:c r="D154" s="47"/>
      <x:c r="E154" s="47"/>
      <x:c r="F154" s="47"/>
      <x:c r="G154" s="46"/>
      <x:c r="H154" s="46"/>
      <x:c r="I154" s="46"/>
      <x:c r="J154" s="45"/>
      <x:c r="K154" s="45"/>
      <x:c r="L154" s="45"/>
      <x:c r="M154" s="45"/>
    </x:row>
    <x:row r="155">
      <x:c r="A155" s="45"/>
      <x:c r="B155" s="45"/>
      <x:c r="C155" s="45"/>
      <x:c r="D155" s="47"/>
      <x:c r="E155" s="47"/>
      <x:c r="F155" s="47"/>
      <x:c r="G155" s="46"/>
      <x:c r="H155" s="46"/>
      <x:c r="I155" s="46"/>
      <x:c r="J155" s="45"/>
      <x:c r="K155" s="45"/>
      <x:c r="L155" s="45"/>
      <x:c r="M155" s="45"/>
    </x:row>
    <x:row r="156">
      <x:c r="A156" s="45"/>
      <x:c r="B156" s="45"/>
      <x:c r="C156" s="45"/>
      <x:c r="D156" s="47"/>
      <x:c r="E156" s="47"/>
      <x:c r="F156" s="47"/>
      <x:c r="G156" s="46"/>
      <x:c r="H156" s="46"/>
      <x:c r="I156" s="46"/>
      <x:c r="J156" s="45"/>
      <x:c r="K156" s="45"/>
      <x:c r="L156" s="45"/>
      <x:c r="M156" s="45"/>
    </x:row>
    <x:row r="157">
      <x:c r="A157" s="45"/>
      <x:c r="B157" s="45"/>
      <x:c r="C157" s="45"/>
      <x:c r="D157" s="47"/>
      <x:c r="E157" s="47"/>
      <x:c r="F157" s="47"/>
      <x:c r="G157" s="46"/>
      <x:c r="H157" s="46"/>
      <x:c r="I157" s="46"/>
      <x:c r="J157" s="45"/>
      <x:c r="K157" s="45"/>
      <x:c r="L157" s="45"/>
      <x:c r="M157" s="45"/>
    </x:row>
    <x:row r="158">
      <x:c r="A158" s="45"/>
      <x:c r="B158" s="45"/>
      <x:c r="C158" s="45"/>
      <x:c r="D158" s="47"/>
      <x:c r="E158" s="47"/>
      <x:c r="F158" s="47"/>
      <x:c r="G158" s="46"/>
      <x:c r="H158" s="46"/>
      <x:c r="I158" s="46"/>
      <x:c r="J158" s="45"/>
      <x:c r="K158" s="45"/>
      <x:c r="L158" s="45"/>
      <x:c r="M158" s="45"/>
    </x:row>
    <x:row r="159">
      <x:c r="A159" s="45"/>
      <x:c r="B159" s="45"/>
      <x:c r="C159" s="45"/>
      <x:c r="D159" s="47"/>
      <x:c r="E159" s="47"/>
      <x:c r="F159" s="47"/>
      <x:c r="G159" s="46"/>
      <x:c r="H159" s="46"/>
      <x:c r="I159" s="46"/>
      <x:c r="J159" s="45"/>
      <x:c r="K159" s="45"/>
      <x:c r="L159" s="45"/>
      <x:c r="M159" s="45"/>
    </x:row>
    <x:row r="160">
      <x:c r="A160" s="45"/>
      <x:c r="B160" s="45"/>
      <x:c r="C160" s="45"/>
      <x:c r="D160" s="47"/>
      <x:c r="E160" s="47"/>
      <x:c r="F160" s="47"/>
      <x:c r="G160" s="46"/>
      <x:c r="H160" s="46"/>
      <x:c r="I160" s="46"/>
      <x:c r="J160" s="45"/>
      <x:c r="K160" s="45"/>
      <x:c r="L160" s="45"/>
      <x:c r="M160" s="45"/>
    </x:row>
    <x:row r="161">
      <x:c r="A161" s="45"/>
      <x:c r="B161" s="45"/>
      <x:c r="C161" s="45"/>
      <x:c r="D161" s="47"/>
      <x:c r="E161" s="47"/>
      <x:c r="F161" s="47"/>
      <x:c r="G161" s="46"/>
      <x:c r="H161" s="46"/>
      <x:c r="I161" s="46"/>
      <x:c r="J161" s="45"/>
      <x:c r="K161" s="45"/>
      <x:c r="L161" s="45"/>
      <x:c r="M161" s="45"/>
    </x:row>
    <x:row r="162">
      <x:c r="A162" s="45"/>
      <x:c r="B162" s="45"/>
      <x:c r="C162" s="45"/>
      <x:c r="D162" s="47"/>
      <x:c r="E162" s="47"/>
      <x:c r="F162" s="47"/>
      <x:c r="G162" s="46"/>
      <x:c r="H162" s="46"/>
      <x:c r="I162" s="46"/>
      <x:c r="J162" s="45"/>
      <x:c r="K162" s="45"/>
      <x:c r="L162" s="45"/>
      <x:c r="M162" s="45"/>
    </x:row>
    <x:row r="163">
      <x:c r="A163" s="45"/>
      <x:c r="B163" s="45"/>
      <x:c r="C163" s="45"/>
      <x:c r="D163" s="47"/>
      <x:c r="E163" s="47"/>
      <x:c r="F163" s="47"/>
      <x:c r="G163" s="46"/>
      <x:c r="H163" s="46"/>
      <x:c r="I163" s="46"/>
      <x:c r="J163" s="45"/>
      <x:c r="K163" s="45"/>
      <x:c r="L163" s="45"/>
      <x:c r="M163" s="45"/>
    </x:row>
    <x:row r="164">
      <x:c r="A164" s="45"/>
      <x:c r="B164" s="45"/>
      <x:c r="C164" s="45"/>
      <x:c r="D164" s="47"/>
      <x:c r="E164" s="47"/>
      <x:c r="F164" s="47"/>
      <x:c r="G164" s="46"/>
      <x:c r="H164" s="46"/>
      <x:c r="I164" s="46"/>
      <x:c r="J164" s="45"/>
      <x:c r="K164" s="45"/>
      <x:c r="L164" s="45"/>
      <x:c r="M164" s="45"/>
    </x:row>
    <x:row r="165">
      <x:c r="A165" s="45"/>
      <x:c r="B165" s="45"/>
      <x:c r="C165" s="45"/>
      <x:c r="D165" s="47"/>
      <x:c r="E165" s="47"/>
      <x:c r="F165" s="47"/>
      <x:c r="G165" s="46"/>
      <x:c r="H165" s="46"/>
      <x:c r="I165" s="46"/>
      <x:c r="J165" s="45"/>
      <x:c r="K165" s="45"/>
      <x:c r="L165" s="45"/>
      <x:c r="M165" s="45"/>
    </x:row>
    <x:row r="166">
      <x:c r="A166" s="45"/>
      <x:c r="B166" s="45"/>
      <x:c r="C166" s="45"/>
      <x:c r="D166" s="47"/>
      <x:c r="E166" s="47"/>
      <x:c r="F166" s="47"/>
      <x:c r="G166" s="46"/>
      <x:c r="H166" s="46"/>
      <x:c r="I166" s="46"/>
      <x:c r="J166" s="45"/>
      <x:c r="K166" s="45"/>
      <x:c r="L166" s="45"/>
      <x:c r="M166" s="45"/>
    </x:row>
    <x:row r="167">
      <x:c r="A167" s="45"/>
      <x:c r="B167" s="45"/>
      <x:c r="C167" s="45"/>
      <x:c r="D167" s="47"/>
      <x:c r="E167" s="47"/>
      <x:c r="F167" s="47"/>
      <x:c r="G167" s="46"/>
      <x:c r="H167" s="46"/>
      <x:c r="I167" s="46"/>
      <x:c r="J167" s="45"/>
      <x:c r="K167" s="45"/>
      <x:c r="L167" s="45"/>
      <x:c r="M167" s="45"/>
    </x:row>
    <x:row r="168">
      <x:c r="A168" s="45"/>
      <x:c r="B168" s="45"/>
      <x:c r="C168" s="45"/>
      <x:c r="D168" s="47"/>
      <x:c r="E168" s="47"/>
      <x:c r="F168" s="47"/>
      <x:c r="G168" s="46"/>
      <x:c r="H168" s="46"/>
      <x:c r="I168" s="46"/>
      <x:c r="J168" s="45"/>
      <x:c r="K168" s="45"/>
      <x:c r="L168" s="45"/>
      <x:c r="M168" s="45"/>
    </x:row>
    <x:row r="169">
      <x:c r="A169" s="45"/>
      <x:c r="B169" s="45"/>
      <x:c r="C169" s="45"/>
      <x:c r="D169" s="47"/>
      <x:c r="E169" s="47"/>
      <x:c r="F169" s="47"/>
      <x:c r="G169" s="46"/>
      <x:c r="H169" s="46"/>
      <x:c r="I169" s="46"/>
      <x:c r="J169" s="45"/>
      <x:c r="K169" s="45"/>
      <x:c r="L169" s="45"/>
      <x:c r="M169" s="45"/>
    </x:row>
    <x:row r="170">
      <x:c r="A170" s="45"/>
      <x:c r="B170" s="45"/>
      <x:c r="C170" s="45"/>
      <x:c r="D170" s="47"/>
      <x:c r="E170" s="47"/>
      <x:c r="F170" s="47"/>
      <x:c r="G170" s="46"/>
      <x:c r="H170" s="46"/>
      <x:c r="I170" s="46"/>
      <x:c r="J170" s="45"/>
      <x:c r="K170" s="45"/>
      <x:c r="L170" s="45"/>
      <x:c r="M170" s="45"/>
    </x:row>
    <x:row r="171">
      <x:c r="A171" s="45"/>
      <x:c r="B171" s="45"/>
      <x:c r="C171" s="45"/>
      <x:c r="D171" s="47"/>
      <x:c r="E171" s="47"/>
      <x:c r="F171" s="47"/>
      <x:c r="G171" s="46"/>
      <x:c r="H171" s="46"/>
      <x:c r="I171" s="46"/>
      <x:c r="J171" s="45"/>
      <x:c r="K171" s="45"/>
      <x:c r="L171" s="45"/>
      <x:c r="M171" s="45"/>
    </x:row>
    <x:row r="172">
      <x:c r="A172" s="45"/>
      <x:c r="B172" s="45"/>
      <x:c r="C172" s="45"/>
      <x:c r="D172" s="47"/>
      <x:c r="E172" s="47"/>
      <x:c r="F172" s="47"/>
      <x:c r="G172" s="46"/>
      <x:c r="H172" s="46"/>
      <x:c r="I172" s="46"/>
      <x:c r="J172" s="45"/>
      <x:c r="K172" s="45"/>
      <x:c r="L172" s="45"/>
      <x:c r="M172" s="45"/>
    </x:row>
    <x:row r="173">
      <x:c r="A173" s="45"/>
      <x:c r="B173" s="45"/>
      <x:c r="C173" s="45"/>
      <x:c r="D173" s="47"/>
      <x:c r="E173" s="47"/>
      <x:c r="F173" s="47"/>
      <x:c r="G173" s="46"/>
      <x:c r="H173" s="46"/>
      <x:c r="I173" s="46"/>
      <x:c r="J173" s="45"/>
      <x:c r="K173" s="45"/>
      <x:c r="L173" s="45"/>
      <x:c r="M173" s="45"/>
    </x:row>
    <x:row r="174">
      <x:c r="A174" s="45"/>
      <x:c r="B174" s="45"/>
      <x:c r="C174" s="45"/>
      <x:c r="D174" s="47"/>
      <x:c r="E174" s="47"/>
      <x:c r="F174" s="47"/>
      <x:c r="G174" s="46"/>
      <x:c r="H174" s="46"/>
      <x:c r="I174" s="46"/>
      <x:c r="J174" s="45"/>
      <x:c r="K174" s="45"/>
      <x:c r="L174" s="45"/>
      <x:c r="M174" s="45"/>
    </x:row>
    <x:row r="175">
      <x:c r="A175" s="45"/>
      <x:c r="B175" s="45"/>
      <x:c r="C175" s="45"/>
      <x:c r="D175" s="47"/>
      <x:c r="E175" s="47"/>
      <x:c r="F175" s="47"/>
      <x:c r="G175" s="46"/>
      <x:c r="H175" s="46"/>
      <x:c r="I175" s="46"/>
      <x:c r="J175" s="45"/>
      <x:c r="K175" s="45"/>
      <x:c r="L175" s="45"/>
      <x:c r="M175" s="45"/>
    </x:row>
    <x:row r="176">
      <x:c r="A176" s="45"/>
      <x:c r="B176" s="45"/>
      <x:c r="C176" s="45"/>
      <x:c r="D176" s="47"/>
      <x:c r="E176" s="47"/>
      <x:c r="F176" s="47"/>
      <x:c r="G176" s="46"/>
      <x:c r="H176" s="46"/>
      <x:c r="I176" s="46"/>
      <x:c r="J176" s="45"/>
      <x:c r="K176" s="45"/>
      <x:c r="L176" s="45"/>
      <x:c r="M176" s="45"/>
    </x:row>
    <x:row r="177">
      <x:c r="A177" s="45"/>
      <x:c r="B177" s="45"/>
      <x:c r="C177" s="45"/>
      <x:c r="D177" s="47"/>
      <x:c r="E177" s="47"/>
      <x:c r="F177" s="47"/>
      <x:c r="G177" s="46"/>
      <x:c r="H177" s="46"/>
      <x:c r="I177" s="46"/>
      <x:c r="J177" s="45"/>
      <x:c r="K177" s="45"/>
      <x:c r="L177" s="45"/>
      <x:c r="M177" s="45"/>
    </x:row>
    <x:row r="178">
      <x:c r="A178" s="45"/>
      <x:c r="B178" s="45"/>
      <x:c r="C178" s="45"/>
      <x:c r="D178" s="47"/>
      <x:c r="E178" s="47"/>
      <x:c r="F178" s="47"/>
      <x:c r="G178" s="46"/>
      <x:c r="H178" s="46"/>
      <x:c r="I178" s="46"/>
      <x:c r="J178" s="45"/>
      <x:c r="K178" s="45"/>
      <x:c r="L178" s="45"/>
      <x:c r="M178" s="45"/>
    </x:row>
    <x:row r="179">
      <x:c r="A179" s="45"/>
      <x:c r="B179" s="45"/>
      <x:c r="C179" s="45"/>
      <x:c r="D179" s="47"/>
      <x:c r="E179" s="47"/>
      <x:c r="F179" s="47"/>
      <x:c r="G179" s="46"/>
      <x:c r="H179" s="46"/>
      <x:c r="I179" s="46"/>
      <x:c r="J179" s="45"/>
      <x:c r="K179" s="45"/>
      <x:c r="L179" s="45"/>
      <x:c r="M179" s="45"/>
    </x:row>
    <x:row r="180">
      <x:c r="A180" s="45"/>
      <x:c r="B180" s="45"/>
      <x:c r="C180" s="45"/>
      <x:c r="D180" s="47"/>
      <x:c r="E180" s="47"/>
      <x:c r="F180" s="47"/>
      <x:c r="G180" s="46"/>
      <x:c r="H180" s="46"/>
      <x:c r="I180" s="46"/>
      <x:c r="J180" s="45"/>
      <x:c r="K180" s="45"/>
      <x:c r="L180" s="45"/>
      <x:c r="M180" s="45"/>
    </x:row>
    <x:row r="181">
      <x:c r="A181" s="45"/>
      <x:c r="B181" s="45"/>
      <x:c r="C181" s="45"/>
      <x:c r="D181" s="47"/>
      <x:c r="E181" s="47"/>
      <x:c r="F181" s="47"/>
      <x:c r="G181" s="46"/>
      <x:c r="H181" s="46"/>
      <x:c r="I181" s="46"/>
      <x:c r="J181" s="45"/>
      <x:c r="K181" s="45"/>
      <x:c r="L181" s="45"/>
      <x:c r="M181" s="45"/>
    </x:row>
    <x:row r="182">
      <x:c r="A182" s="45"/>
      <x:c r="B182" s="45"/>
      <x:c r="C182" s="45"/>
      <x:c r="D182" s="47"/>
      <x:c r="E182" s="47"/>
      <x:c r="F182" s="47"/>
      <x:c r="G182" s="46"/>
      <x:c r="H182" s="46"/>
      <x:c r="I182" s="46"/>
      <x:c r="J182" s="45"/>
      <x:c r="K182" s="45"/>
      <x:c r="L182" s="45"/>
      <x:c r="M182" s="45"/>
    </x:row>
    <x:row r="183">
      <x:c r="A183" s="45"/>
      <x:c r="B183" s="45"/>
      <x:c r="C183" s="45"/>
      <x:c r="D183" s="47"/>
      <x:c r="E183" s="47"/>
      <x:c r="F183" s="47"/>
      <x:c r="G183" s="46"/>
      <x:c r="H183" s="46"/>
      <x:c r="I183" s="46"/>
      <x:c r="J183" s="45"/>
      <x:c r="K183" s="45"/>
      <x:c r="L183" s="45"/>
      <x:c r="M183" s="45"/>
    </x:row>
    <x:row r="184">
      <x:c r="A184" s="45"/>
      <x:c r="B184" s="45"/>
      <x:c r="C184" s="45"/>
      <x:c r="D184" s="47"/>
      <x:c r="E184" s="47"/>
      <x:c r="F184" s="47"/>
      <x:c r="G184" s="46"/>
      <x:c r="H184" s="46"/>
      <x:c r="I184" s="46"/>
      <x:c r="J184" s="45"/>
      <x:c r="K184" s="45"/>
      <x:c r="L184" s="45"/>
      <x:c r="M184" s="45"/>
    </x:row>
    <x:row r="185">
      <x:c r="A185" s="45"/>
      <x:c r="B185" s="45"/>
      <x:c r="C185" s="45"/>
      <x:c r="D185" s="47"/>
      <x:c r="E185" s="47"/>
      <x:c r="F185" s="47"/>
      <x:c r="G185" s="46"/>
      <x:c r="H185" s="46"/>
      <x:c r="I185" s="46"/>
      <x:c r="J185" s="45"/>
      <x:c r="K185" s="45"/>
      <x:c r="L185" s="45"/>
      <x:c r="M185" s="45"/>
    </x:row>
    <x:row r="186">
      <x:c r="A186" s="45"/>
      <x:c r="B186" s="45"/>
      <x:c r="C186" s="45"/>
      <x:c r="D186" s="47"/>
      <x:c r="E186" s="47"/>
      <x:c r="F186" s="47"/>
      <x:c r="G186" s="46"/>
      <x:c r="H186" s="46"/>
      <x:c r="I186" s="46"/>
      <x:c r="J186" s="45"/>
      <x:c r="K186" s="45"/>
      <x:c r="L186" s="45"/>
      <x:c r="M186" s="45"/>
    </x:row>
    <x:row r="187">
      <x:c r="A187" s="45"/>
      <x:c r="B187" s="45"/>
      <x:c r="C187" s="45"/>
      <x:c r="D187" s="47"/>
      <x:c r="E187" s="47"/>
      <x:c r="F187" s="47"/>
      <x:c r="G187" s="46"/>
      <x:c r="H187" s="46"/>
      <x:c r="I187" s="46"/>
      <x:c r="J187" s="45"/>
      <x:c r="K187" s="45"/>
      <x:c r="L187" s="45"/>
      <x:c r="M187" s="45"/>
    </x:row>
    <x:row r="188">
      <x:c r="A188" s="45"/>
      <x:c r="B188" s="45"/>
      <x:c r="C188" s="45"/>
      <x:c r="D188" s="47"/>
      <x:c r="E188" s="47"/>
      <x:c r="F188" s="47"/>
      <x:c r="G188" s="46"/>
      <x:c r="H188" s="46"/>
      <x:c r="I188" s="46"/>
      <x:c r="J188" s="45"/>
      <x:c r="K188" s="45"/>
      <x:c r="L188" s="45"/>
      <x:c r="M188" s="45"/>
    </x:row>
    <x:row r="189">
      <x:c r="A189" s="45"/>
      <x:c r="B189" s="45"/>
      <x:c r="C189" s="45"/>
      <x:c r="D189" s="47"/>
      <x:c r="E189" s="47"/>
      <x:c r="F189" s="47"/>
      <x:c r="G189" s="46"/>
      <x:c r="H189" s="46"/>
      <x:c r="I189" s="46"/>
      <x:c r="J189" s="45"/>
      <x:c r="K189" s="45"/>
      <x:c r="L189" s="45"/>
      <x:c r="M189" s="45"/>
    </x:row>
    <x:row r="190">
      <x:c r="A190" s="45"/>
      <x:c r="B190" s="45"/>
      <x:c r="C190" s="45"/>
      <x:c r="D190" s="47"/>
      <x:c r="E190" s="47"/>
      <x:c r="F190" s="47"/>
      <x:c r="G190" s="46"/>
      <x:c r="H190" s="46"/>
      <x:c r="I190" s="46"/>
      <x:c r="J190" s="45"/>
      <x:c r="K190" s="45"/>
      <x:c r="L190" s="45"/>
      <x:c r="M190" s="45"/>
    </x:row>
    <x:row r="191">
      <x:c r="A191" s="45"/>
      <x:c r="B191" s="45"/>
      <x:c r="C191" s="45"/>
      <x:c r="D191" s="47"/>
      <x:c r="E191" s="47"/>
      <x:c r="F191" s="47"/>
      <x:c r="G191" s="46"/>
      <x:c r="H191" s="46"/>
      <x:c r="I191" s="46"/>
      <x:c r="J191" s="45"/>
      <x:c r="K191" s="45"/>
      <x:c r="L191" s="45"/>
      <x:c r="M191" s="45"/>
    </x:row>
    <x:row r="192">
      <x:c r="A192" s="45"/>
      <x:c r="B192" s="45"/>
      <x:c r="C192" s="45"/>
      <x:c r="D192" s="47"/>
      <x:c r="E192" s="47"/>
      <x:c r="F192" s="47"/>
      <x:c r="G192" s="46"/>
      <x:c r="H192" s="46"/>
      <x:c r="I192" s="46"/>
      <x:c r="J192" s="45"/>
      <x:c r="K192" s="45"/>
      <x:c r="L192" s="45"/>
      <x:c r="M192" s="45"/>
    </x:row>
    <x:row r="193">
      <x:c r="A193" s="45"/>
      <x:c r="B193" s="45"/>
      <x:c r="C193" s="45"/>
      <x:c r="D193" s="47"/>
      <x:c r="E193" s="47"/>
      <x:c r="F193" s="47"/>
      <x:c r="G193" s="46"/>
      <x:c r="H193" s="46"/>
      <x:c r="I193" s="46"/>
      <x:c r="J193" s="45"/>
      <x:c r="K193" s="45"/>
      <x:c r="L193" s="45"/>
      <x:c r="M193" s="45"/>
    </x:row>
    <x:row r="194">
      <x:c r="A194" s="45"/>
      <x:c r="B194" s="45"/>
      <x:c r="C194" s="45"/>
      <x:c r="D194" s="47"/>
      <x:c r="E194" s="47"/>
      <x:c r="F194" s="47"/>
      <x:c r="G194" s="46"/>
      <x:c r="H194" s="46"/>
      <x:c r="I194" s="46"/>
      <x:c r="J194" s="45"/>
      <x:c r="K194" s="45"/>
      <x:c r="L194" s="45"/>
      <x:c r="M194" s="45"/>
    </x:row>
    <x:row r="195">
      <x:c r="A195" s="45"/>
      <x:c r="B195" s="45"/>
      <x:c r="C195" s="45"/>
      <x:c r="D195" s="47"/>
      <x:c r="E195" s="47"/>
      <x:c r="F195" s="47"/>
      <x:c r="G195" s="46"/>
      <x:c r="H195" s="46"/>
      <x:c r="I195" s="46"/>
      <x:c r="J195" s="45"/>
      <x:c r="K195" s="45"/>
      <x:c r="L195" s="45"/>
      <x:c r="M195" s="45"/>
    </x:row>
    <x:row r="196">
      <x:c r="A196" s="45"/>
      <x:c r="B196" s="45"/>
      <x:c r="C196" s="45"/>
      <x:c r="D196" s="47"/>
      <x:c r="E196" s="47"/>
      <x:c r="F196" s="47"/>
      <x:c r="G196" s="46"/>
      <x:c r="H196" s="46"/>
      <x:c r="I196" s="46"/>
      <x:c r="J196" s="45"/>
      <x:c r="K196" s="45"/>
      <x:c r="L196" s="45"/>
      <x:c r="M196" s="45"/>
    </x:row>
    <x:row r="197">
      <x:c r="A197" s="45"/>
      <x:c r="B197" s="45"/>
      <x:c r="C197" s="45"/>
      <x:c r="D197" s="47"/>
      <x:c r="E197" s="47"/>
      <x:c r="F197" s="47"/>
      <x:c r="G197" s="46"/>
      <x:c r="H197" s="46"/>
      <x:c r="I197" s="46"/>
      <x:c r="J197" s="45"/>
      <x:c r="K197" s="45"/>
      <x:c r="L197" s="45"/>
      <x:c r="M197" s="45"/>
    </x:row>
    <x:row r="198">
      <x:c r="A198" s="45"/>
      <x:c r="B198" s="45"/>
      <x:c r="C198" s="45"/>
      <x:c r="D198" s="47"/>
      <x:c r="E198" s="47"/>
      <x:c r="F198" s="47"/>
      <x:c r="G198" s="46"/>
      <x:c r="H198" s="46"/>
      <x:c r="I198" s="46"/>
      <x:c r="J198" s="45"/>
      <x:c r="K198" s="45"/>
      <x:c r="L198" s="45"/>
      <x:c r="M198" s="45"/>
    </x:row>
    <x:row r="199">
      <x:c r="A199" s="45"/>
      <x:c r="B199" s="45"/>
      <x:c r="C199" s="45"/>
      <x:c r="D199" s="47"/>
      <x:c r="E199" s="47"/>
      <x:c r="F199" s="47"/>
      <x:c r="G199" s="46"/>
      <x:c r="H199" s="46"/>
      <x:c r="I199" s="46"/>
      <x:c r="J199" s="45"/>
      <x:c r="K199" s="45"/>
      <x:c r="L199" s="45"/>
      <x:c r="M199" s="45"/>
    </x:row>
    <x:row r="200">
      <x:c r="A200" s="45"/>
      <x:c r="B200" s="45"/>
      <x:c r="C200" s="45"/>
      <x:c r="D200" s="47"/>
      <x:c r="E200" s="47"/>
      <x:c r="F200" s="47"/>
      <x:c r="G200" s="46"/>
      <x:c r="H200" s="46"/>
      <x:c r="I200" s="46"/>
      <x:c r="J200" s="45"/>
      <x:c r="K200" s="45"/>
      <x:c r="L200" s="45"/>
      <x:c r="M200" s="45"/>
    </x:row>
    <x:row r="201">
      <x:c r="A201" s="45"/>
      <x:c r="B201" s="45"/>
      <x:c r="C201" s="45"/>
      <x:c r="D201" s="47"/>
      <x:c r="E201" s="47"/>
      <x:c r="F201" s="47"/>
      <x:c r="G201" s="46"/>
      <x:c r="H201" s="46"/>
      <x:c r="I201" s="46"/>
      <x:c r="J201" s="45"/>
      <x:c r="K201" s="45"/>
      <x:c r="L201" s="45"/>
      <x:c r="M201" s="45"/>
    </x:row>
    <x:row r="202">
      <x:c r="A202" s="45"/>
      <x:c r="B202" s="45"/>
      <x:c r="C202" s="45"/>
      <x:c r="D202" s="47"/>
      <x:c r="E202" s="47"/>
      <x:c r="F202" s="47"/>
      <x:c r="G202" s="46"/>
      <x:c r="H202" s="46"/>
      <x:c r="I202" s="46"/>
      <x:c r="J202" s="45"/>
      <x:c r="K202" s="45"/>
      <x:c r="L202" s="45"/>
      <x:c r="M202" s="45"/>
    </x:row>
    <x:row r="203">
      <x:c r="A203" s="45"/>
      <x:c r="B203" s="45"/>
      <x:c r="C203" s="45"/>
      <x:c r="D203" s="47"/>
      <x:c r="E203" s="47"/>
      <x:c r="F203" s="47"/>
      <x:c r="G203" s="46"/>
      <x:c r="H203" s="46"/>
      <x:c r="I203" s="46"/>
      <x:c r="J203" s="45"/>
      <x:c r="K203" s="45"/>
      <x:c r="L203" s="45"/>
      <x:c r="M203" s="45"/>
    </x:row>
    <x:row r="204">
      <x:c r="A204" s="45"/>
      <x:c r="B204" s="45"/>
      <x:c r="C204" s="45"/>
      <x:c r="D204" s="47"/>
      <x:c r="E204" s="47"/>
      <x:c r="F204" s="47"/>
      <x:c r="G204" s="46"/>
      <x:c r="H204" s="46"/>
      <x:c r="I204" s="46"/>
      <x:c r="J204" s="45"/>
      <x:c r="K204" s="45"/>
      <x:c r="L204" s="45"/>
      <x:c r="M204" s="45"/>
    </x:row>
    <x:row r="205">
      <x:c r="A205" s="45"/>
      <x:c r="B205" s="45"/>
      <x:c r="C205" s="45"/>
      <x:c r="D205" s="47"/>
      <x:c r="E205" s="47"/>
      <x:c r="F205" s="47"/>
      <x:c r="G205" s="46"/>
      <x:c r="H205" s="46"/>
      <x:c r="I205" s="46"/>
      <x:c r="J205" s="45"/>
      <x:c r="K205" s="45"/>
      <x:c r="L205" s="45"/>
      <x:c r="M205" s="45"/>
    </x:row>
    <x:row r="206">
      <x:c r="A206" s="45"/>
      <x:c r="B206" s="45"/>
      <x:c r="C206" s="45"/>
      <x:c r="D206" s="47"/>
      <x:c r="E206" s="47"/>
      <x:c r="F206" s="47"/>
      <x:c r="G206" s="46"/>
      <x:c r="H206" s="46"/>
      <x:c r="I206" s="46"/>
      <x:c r="J206" s="45"/>
      <x:c r="K206" s="45"/>
      <x:c r="L206" s="45"/>
      <x:c r="M206" s="45"/>
    </x:row>
    <x:row r="207">
      <x:c r="A207" s="45"/>
      <x:c r="B207" s="45"/>
      <x:c r="C207" s="45"/>
      <x:c r="D207" s="47"/>
      <x:c r="E207" s="47"/>
      <x:c r="F207" s="47"/>
      <x:c r="G207" s="46"/>
      <x:c r="H207" s="46"/>
      <x:c r="I207" s="46"/>
      <x:c r="J207" s="45"/>
      <x:c r="K207" s="45"/>
      <x:c r="L207" s="45"/>
      <x:c r="M207" s="45"/>
    </x:row>
    <x:row r="208">
      <x:c r="A208" s="45"/>
      <x:c r="B208" s="45"/>
      <x:c r="C208" s="45"/>
      <x:c r="D208" s="47"/>
      <x:c r="E208" s="47"/>
      <x:c r="F208" s="47"/>
      <x:c r="G208" s="46"/>
      <x:c r="H208" s="46"/>
      <x:c r="I208" s="46"/>
      <x:c r="J208" s="45"/>
      <x:c r="K208" s="45"/>
      <x:c r="L208" s="45"/>
      <x:c r="M208" s="45"/>
    </x:row>
  </x:sheetData>
  <x:mergeCells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2" hidden="0" customWidth="1"/>
    <x:col min="4" max="4" width="30" hidden="0" customWidth="1"/>
    <x:col min="5" max="5" width="28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2" hidden="0" customWidth="1"/>
    <x:col min="12" max="12" width="15" hidden="0" customWidth="1"/>
    <x:col min="13" max="13" width="16" hidden="0" customWidth="1"/>
  </x:cols>
  <x:sheetData>
    <x:row r="1" ht="34" customHeight="1">
      <x:c r="A1" s="3" t="str">
        <x:v>整骨院web｜営業名簿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17" t="str">
        <x:v>黄色のセルのみ入力してください。追客は1回まで、営業拒否先は自動で除外されます。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4" ht="32" customHeight="1">
      <x:c r="A4" s="24" t="str">
        <x:v>ID</x:v>
      </x:c>
      <x:c r="B4" s="25" t="str">
        <x:v>院名</x:v>
      </x:c>
      <x:c r="C4" s="25" t="str">
        <x:v>都道府県</x:v>
      </x:c>
      <x:c r="D4" s="25" t="str">
        <x:v>サイトURL</x:v>
      </x:c>
      <x:c r="E4" s="25" t="str">
        <x:v>メールアドレス</x:v>
      </x:c>
      <x:c r="F4" s="25" t="str">
        <x:v>個別の改善ポイント</x:v>
      </x:c>
      <x:c r="G4" s="25" t="str">
        <x:v>初回送信日</x:v>
      </x:c>
      <x:c r="H4" s="25" t="str">
        <x:v>追客予定日</x:v>
      </x:c>
      <x:c r="I4" s="25" t="str">
        <x:v>追客送信日</x:v>
      </x:c>
      <x:c r="J4" s="25" t="str">
        <x:v>返信状況</x:v>
      </x:c>
      <x:c r="K4" s="25" t="str">
        <x:v>営業拒否</x:v>
      </x:c>
      <x:c r="L4" s="25" t="str">
        <x:v>ステータス</x:v>
      </x:c>
      <x:c r="M4" s="26" t="str">
        <x:v>次の対応</x:v>
      </x:c>
    </x:row>
    <x:row r="5">
      <x:c r="A5" s="29" t="str">
        <x:f>IF(B5="","",ROW()-4)</x:f>
      </x:c>
      <x:c r="B5" s="30"/>
      <x:c r="C5" s="30"/>
      <x:c r="D5" s="33"/>
      <x:c r="E5" s="33"/>
      <x:c r="F5" s="33"/>
      <x:c r="G5" s="31"/>
      <x:c r="H5" s="32" t="str">
        <x:f>IF(G5="","",G5+'設定・使い方'!$B$4)</x:f>
      </x:c>
      <x:c r="I5" s="31"/>
      <x:c r="J5" s="30" t="str">
        <x:v>未返信</x:v>
      </x:c>
      <x:c r="K5" s="30" t="str">
        <x:v>いいえ</x:v>
      </x:c>
      <x:c r="L5" s="29" t="str">
        <x:f>IF(B5="","",IF(K5="はい","送信禁止",IF(J5="成約","成約",IF(OR(J5="返信あり",J5="検討中",J5="不要"),"返信あり",IF(G5="","未送信",IF(I5&lt;&gt;"","追客済み",IF(TODAY()&gt;=H5,"追客対象","初回送信済み")))))))</x:f>
      </x:c>
      <x:c r="M5" s="29" t="str">
        <x:f>IF(B5="","",IF(K5="はい","送信しない",IF(J5="成約","対応完了",IF(J5="返信あり","返信対応",IF(J5="検討中","状況確認",IF(J5="不要","対応終了",IF(G5="","初回メール",IF(I5&lt;&gt;"","追客完了",IF(TODAY()&gt;=H5,"追客メール","待機")))))))))</x:f>
      </x:c>
    </x:row>
    <x:row r="6">
      <x:c r="A6" s="29" t="str">
        <x:f>IF(B6="","",ROW()-4)</x:f>
      </x:c>
      <x:c r="B6" s="30"/>
      <x:c r="C6" s="30"/>
      <x:c r="D6" s="33"/>
      <x:c r="E6" s="33"/>
      <x:c r="F6" s="33"/>
      <x:c r="G6" s="31"/>
      <x:c r="H6" s="32" t="str">
        <x:f>IF(G6="","",G6+'設定・使い方'!$B$4)</x:f>
      </x:c>
      <x:c r="I6" s="31"/>
      <x:c r="J6" s="30" t="str">
        <x:v>未返信</x:v>
      </x:c>
      <x:c r="K6" s="30" t="str">
        <x:v>いいえ</x:v>
      </x:c>
      <x:c r="L6" s="29" t="str">
        <x:f>IF(B6="","",IF(K6="はい","送信禁止",IF(J6="成約","成約",IF(OR(J6="返信あり",J6="検討中",J6="不要"),"返信あり",IF(G6="","未送信",IF(I6&lt;&gt;"","追客済み",IF(TODAY()&gt;=H6,"追客対象","初回送信済み")))))))</x:f>
      </x:c>
      <x:c r="M6" s="29" t="str">
        <x:f>IF(B6="","",IF(K6="はい","送信しない",IF(J6="成約","対応完了",IF(J6="返信あり","返信対応",IF(J6="検討中","状況確認",IF(J6="不要","対応終了",IF(G6="","初回メール",IF(I6&lt;&gt;"","追客完了",IF(TODAY()&gt;=H6,"追客メール","待機")))))))))</x:f>
      </x:c>
    </x:row>
    <x:row r="7">
      <x:c r="A7" s="29" t="str">
        <x:f>IF(B7="","",ROW()-4)</x:f>
      </x:c>
      <x:c r="B7" s="30"/>
      <x:c r="C7" s="30"/>
      <x:c r="D7" s="33"/>
      <x:c r="E7" s="33"/>
      <x:c r="F7" s="33"/>
      <x:c r="G7" s="31"/>
      <x:c r="H7" s="32" t="str">
        <x:f>IF(G7="","",G7+'設定・使い方'!$B$4)</x:f>
      </x:c>
      <x:c r="I7" s="31"/>
      <x:c r="J7" s="30" t="str">
        <x:v>未返信</x:v>
      </x:c>
      <x:c r="K7" s="30" t="str">
        <x:v>いいえ</x:v>
      </x:c>
      <x:c r="L7" s="29" t="str">
        <x:f>IF(B7="","",IF(K7="はい","送信禁止",IF(J7="成約","成約",IF(OR(J7="返信あり",J7="検討中",J7="不要"),"返信あり",IF(G7="","未送信",IF(I7&lt;&gt;"","追客済み",IF(TODAY()&gt;=H7,"追客対象","初回送信済み")))))))</x:f>
      </x:c>
      <x:c r="M7" s="29" t="str">
        <x:f>IF(B7="","",IF(K7="はい","送信しない",IF(J7="成約","対応完了",IF(J7="返信あり","返信対応",IF(J7="検討中","状況確認",IF(J7="不要","対応終了",IF(G7="","初回メール",IF(I7&lt;&gt;"","追客完了",IF(TODAY()&gt;=H7,"追客メール","待機")))))))))</x:f>
      </x:c>
    </x:row>
    <x:row r="8">
      <x:c r="A8" s="29" t="str">
        <x:f>IF(B8="","",ROW()-4)</x:f>
      </x:c>
      <x:c r="B8" s="30"/>
      <x:c r="C8" s="30"/>
      <x:c r="D8" s="33"/>
      <x:c r="E8" s="33"/>
      <x:c r="F8" s="33"/>
      <x:c r="G8" s="31"/>
      <x:c r="H8" s="32" t="str">
        <x:f>IF(G8="","",G8+'設定・使い方'!$B$4)</x:f>
      </x:c>
      <x:c r="I8" s="31"/>
      <x:c r="J8" s="30" t="str">
        <x:v>未返信</x:v>
      </x:c>
      <x:c r="K8" s="30" t="str">
        <x:v>いいえ</x:v>
      </x:c>
      <x:c r="L8" s="29" t="str">
        <x:f>IF(B8="","",IF(K8="はい","送信禁止",IF(J8="成約","成約",IF(OR(J8="返信あり",J8="検討中",J8="不要"),"返信あり",IF(G8="","未送信",IF(I8&lt;&gt;"","追客済み",IF(TODAY()&gt;=H8,"追客対象","初回送信済み")))))))</x:f>
      </x:c>
      <x:c r="M8" s="29" t="str">
        <x:f>IF(B8="","",IF(K8="はい","送信しない",IF(J8="成約","対応完了",IF(J8="返信あり","返信対応",IF(J8="検討中","状況確認",IF(J8="不要","対応終了",IF(G8="","初回メール",IF(I8&lt;&gt;"","追客完了",IF(TODAY()&gt;=H8,"追客メール","待機")))))))))</x:f>
      </x:c>
    </x:row>
    <x:row r="9">
      <x:c r="A9" s="29" t="str">
        <x:f>IF(B9="","",ROW()-4)</x:f>
      </x:c>
      <x:c r="B9" s="30"/>
      <x:c r="C9" s="30"/>
      <x:c r="D9" s="33"/>
      <x:c r="E9" s="33"/>
      <x:c r="F9" s="33"/>
      <x:c r="G9" s="31"/>
      <x:c r="H9" s="32" t="str">
        <x:f>IF(G9="","",G9+'設定・使い方'!$B$4)</x:f>
      </x:c>
      <x:c r="I9" s="31"/>
      <x:c r="J9" s="30" t="str">
        <x:v>未返信</x:v>
      </x:c>
      <x:c r="K9" s="30" t="str">
        <x:v>いいえ</x:v>
      </x:c>
      <x:c r="L9" s="29" t="str">
        <x:f>IF(B9="","",IF(K9="はい","送信禁止",IF(J9="成約","成約",IF(OR(J9="返信あり",J9="検討中",J9="不要"),"返信あり",IF(G9="","未送信",IF(I9&lt;&gt;"","追客済み",IF(TODAY()&gt;=H9,"追客対象","初回送信済み")))))))</x:f>
      </x:c>
      <x:c r="M9" s="29" t="str">
        <x:f>IF(B9="","",IF(K9="はい","送信しない",IF(J9="成約","対応完了",IF(J9="返信あり","返信対応",IF(J9="検討中","状況確認",IF(J9="不要","対応終了",IF(G9="","初回メール",IF(I9&lt;&gt;"","追客完了",IF(TODAY()&gt;=H9,"追客メール","待機")))))))))</x:f>
      </x:c>
    </x:row>
    <x:row r="10">
      <x:c r="A10" s="29" t="str">
        <x:f>IF(B10="","",ROW()-4)</x:f>
      </x:c>
      <x:c r="B10" s="30"/>
      <x:c r="C10" s="30"/>
      <x:c r="D10" s="33"/>
      <x:c r="E10" s="33"/>
      <x:c r="F10" s="33"/>
      <x:c r="G10" s="31"/>
      <x:c r="H10" s="32" t="str">
        <x:f>IF(G10="","",G10+'設定・使い方'!$B$4)</x:f>
      </x:c>
      <x:c r="I10" s="31"/>
      <x:c r="J10" s="30" t="str">
        <x:v>未返信</x:v>
      </x:c>
      <x:c r="K10" s="30" t="str">
        <x:v>いいえ</x:v>
      </x:c>
      <x:c r="L10" s="29" t="str">
        <x:f>IF(B10="","",IF(K10="はい","送信禁止",IF(J10="成約","成約",IF(OR(J10="返信あり",J10="検討中",J10="不要"),"返信あり",IF(G10="","未送信",IF(I10&lt;&gt;"","追客済み",IF(TODAY()&gt;=H10,"追客対象","初回送信済み")))))))</x:f>
      </x:c>
      <x:c r="M10" s="29" t="str">
        <x:f>IF(B10="","",IF(K10="はい","送信しない",IF(J10="成約","対応完了",IF(J10="返信あり","返信対応",IF(J10="検討中","状況確認",IF(J10="不要","対応終了",IF(G10="","初回メール",IF(I10&lt;&gt;"","追客完了",IF(TODAY()&gt;=H10,"追客メール","待機")))))))))</x:f>
      </x:c>
    </x:row>
    <x:row r="11">
      <x:c r="A11" s="29" t="str">
        <x:f>IF(B11="","",ROW()-4)</x:f>
      </x:c>
      <x:c r="B11" s="30"/>
      <x:c r="C11" s="30"/>
      <x:c r="D11" s="33"/>
      <x:c r="E11" s="33"/>
      <x:c r="F11" s="33"/>
      <x:c r="G11" s="31"/>
      <x:c r="H11" s="32" t="str">
        <x:f>IF(G11="","",G11+'設定・使い方'!$B$4)</x:f>
      </x:c>
      <x:c r="I11" s="31"/>
      <x:c r="J11" s="30" t="str">
        <x:v>未返信</x:v>
      </x:c>
      <x:c r="K11" s="30" t="str">
        <x:v>いいえ</x:v>
      </x:c>
      <x:c r="L11" s="29" t="str">
        <x:f>IF(B11="","",IF(K11="はい","送信禁止",IF(J11="成約","成約",IF(OR(J11="返信あり",J11="検討中",J11="不要"),"返信あり",IF(G11="","未送信",IF(I11&lt;&gt;"","追客済み",IF(TODAY()&gt;=H11,"追客対象","初回送信済み")))))))</x:f>
      </x:c>
      <x:c r="M11" s="29" t="str">
        <x:f>IF(B11="","",IF(K11="はい","送信しない",IF(J11="成約","対応完了",IF(J11="返信あり","返信対応",IF(J11="検討中","状況確認",IF(J11="不要","対応終了",IF(G11="","初回メール",IF(I11&lt;&gt;"","追客完了",IF(TODAY()&gt;=H11,"追客メール","待機")))))))))</x:f>
      </x:c>
    </x:row>
    <x:row r="12">
      <x:c r="A12" s="29" t="str">
        <x:f>IF(B12="","",ROW()-4)</x:f>
      </x:c>
      <x:c r="B12" s="30"/>
      <x:c r="C12" s="30"/>
      <x:c r="D12" s="33"/>
      <x:c r="E12" s="33"/>
      <x:c r="F12" s="33"/>
      <x:c r="G12" s="31"/>
      <x:c r="H12" s="32" t="str">
        <x:f>IF(G12="","",G12+'設定・使い方'!$B$4)</x:f>
      </x:c>
      <x:c r="I12" s="31"/>
      <x:c r="J12" s="30" t="str">
        <x:v>未返信</x:v>
      </x:c>
      <x:c r="K12" s="30" t="str">
        <x:v>いいえ</x:v>
      </x:c>
      <x:c r="L12" s="29" t="str">
        <x:f>IF(B12="","",IF(K12="はい","送信禁止",IF(J12="成約","成約",IF(OR(J12="返信あり",J12="検討中",J12="不要"),"返信あり",IF(G12="","未送信",IF(I12&lt;&gt;"","追客済み",IF(TODAY()&gt;=H12,"追客対象","初回送信済み")))))))</x:f>
      </x:c>
      <x:c r="M12" s="29" t="str">
        <x:f>IF(B12="","",IF(K12="はい","送信しない",IF(J12="成約","対応完了",IF(J12="返信あり","返信対応",IF(J12="検討中","状況確認",IF(J12="不要","対応終了",IF(G12="","初回メール",IF(I12&lt;&gt;"","追客完了",IF(TODAY()&gt;=H12,"追客メール","待機")))))))))</x:f>
      </x:c>
    </x:row>
    <x:row r="13">
      <x:c r="A13" s="29" t="str">
        <x:f>IF(B13="","",ROW()-4)</x:f>
      </x:c>
      <x:c r="B13" s="30"/>
      <x:c r="C13" s="30"/>
      <x:c r="D13" s="33"/>
      <x:c r="E13" s="33"/>
      <x:c r="F13" s="33"/>
      <x:c r="G13" s="31"/>
      <x:c r="H13" s="32" t="str">
        <x:f>IF(G13="","",G13+'設定・使い方'!$B$4)</x:f>
      </x:c>
      <x:c r="I13" s="31"/>
      <x:c r="J13" s="30" t="str">
        <x:v>未返信</x:v>
      </x:c>
      <x:c r="K13" s="30" t="str">
        <x:v>いいえ</x:v>
      </x:c>
      <x:c r="L13" s="29" t="str">
        <x:f>IF(B13="","",IF(K13="はい","送信禁止",IF(J13="成約","成約",IF(OR(J13="返信あり",J13="検討中",J13="不要"),"返信あり",IF(G13="","未送信",IF(I13&lt;&gt;"","追客済み",IF(TODAY()&gt;=H13,"追客対象","初回送信済み")))))))</x:f>
      </x:c>
      <x:c r="M13" s="29" t="str">
        <x:f>IF(B13="","",IF(K13="はい","送信しない",IF(J13="成約","対応完了",IF(J13="返信あり","返信対応",IF(J13="検討中","状況確認",IF(J13="不要","対応終了",IF(G13="","初回メール",IF(I13&lt;&gt;"","追客完了",IF(TODAY()&gt;=H13,"追客メール","待機")))))))))</x:f>
      </x:c>
    </x:row>
    <x:row r="14">
      <x:c r="A14" s="29" t="str">
        <x:f>IF(B14="","",ROW()-4)</x:f>
      </x:c>
      <x:c r="B14" s="30"/>
      <x:c r="C14" s="30"/>
      <x:c r="D14" s="33"/>
      <x:c r="E14" s="33"/>
      <x:c r="F14" s="33"/>
      <x:c r="G14" s="31"/>
      <x:c r="H14" s="32" t="str">
        <x:f>IF(G14="","",G14+'設定・使い方'!$B$4)</x:f>
      </x:c>
      <x:c r="I14" s="31"/>
      <x:c r="J14" s="30" t="str">
        <x:v>未返信</x:v>
      </x:c>
      <x:c r="K14" s="30" t="str">
        <x:v>いいえ</x:v>
      </x:c>
      <x:c r="L14" s="29" t="str">
        <x:f>IF(B14="","",IF(K14="はい","送信禁止",IF(J14="成約","成約",IF(OR(J14="返信あり",J14="検討中",J14="不要"),"返信あり",IF(G14="","未送信",IF(I14&lt;&gt;"","追客済み",IF(TODAY()&gt;=H14,"追客対象","初回送信済み")))))))</x:f>
      </x:c>
      <x:c r="M14" s="29" t="str">
        <x:f>IF(B14="","",IF(K14="はい","送信しない",IF(J14="成約","対応完了",IF(J14="返信あり","返信対応",IF(J14="検討中","状況確認",IF(J14="不要","対応終了",IF(G14="","初回メール",IF(I14&lt;&gt;"","追客完了",IF(TODAY()&gt;=H14,"追客メール","待機")))))))))</x:f>
      </x:c>
    </x:row>
    <x:row r="15">
      <x:c r="A15" s="29" t="str">
        <x:f>IF(B15="","",ROW()-4)</x:f>
      </x:c>
      <x:c r="B15" s="30"/>
      <x:c r="C15" s="30"/>
      <x:c r="D15" s="33"/>
      <x:c r="E15" s="33"/>
      <x:c r="F15" s="33"/>
      <x:c r="G15" s="31"/>
      <x:c r="H15" s="32" t="str">
        <x:f>IF(G15="","",G15+'設定・使い方'!$B$4)</x:f>
      </x:c>
      <x:c r="I15" s="31"/>
      <x:c r="J15" s="30" t="str">
        <x:v>未返信</x:v>
      </x:c>
      <x:c r="K15" s="30" t="str">
        <x:v>いいえ</x:v>
      </x:c>
      <x:c r="L15" s="29" t="str">
        <x:f>IF(B15="","",IF(K15="はい","送信禁止",IF(J15="成約","成約",IF(OR(J15="返信あり",J15="検討中",J15="不要"),"返信あり",IF(G15="","未送信",IF(I15&lt;&gt;"","追客済み",IF(TODAY()&gt;=H15,"追客対象","初回送信済み")))))))</x:f>
      </x:c>
      <x:c r="M15" s="29" t="str">
        <x:f>IF(B15="","",IF(K15="はい","送信しない",IF(J15="成約","対応完了",IF(J15="返信あり","返信対応",IF(J15="検討中","状況確認",IF(J15="不要","対応終了",IF(G15="","初回メール",IF(I15&lt;&gt;"","追客完了",IF(TODAY()&gt;=H15,"追客メール","待機")))))))))</x:f>
      </x:c>
    </x:row>
    <x:row r="16">
      <x:c r="A16" s="29" t="str">
        <x:f>IF(B16="","",ROW()-4)</x:f>
      </x:c>
      <x:c r="B16" s="30"/>
      <x:c r="C16" s="30"/>
      <x:c r="D16" s="33"/>
      <x:c r="E16" s="33"/>
      <x:c r="F16" s="33"/>
      <x:c r="G16" s="31"/>
      <x:c r="H16" s="32" t="str">
        <x:f>IF(G16="","",G16+'設定・使い方'!$B$4)</x:f>
      </x:c>
      <x:c r="I16" s="31"/>
      <x:c r="J16" s="30" t="str">
        <x:v>未返信</x:v>
      </x:c>
      <x:c r="K16" s="30" t="str">
        <x:v>いいえ</x:v>
      </x:c>
      <x:c r="L16" s="29" t="str">
        <x:f>IF(B16="","",IF(K16="はい","送信禁止",IF(J16="成約","成約",IF(OR(J16="返信あり",J16="検討中",J16="不要"),"返信あり",IF(G16="","未送信",IF(I16&lt;&gt;"","追客済み",IF(TODAY()&gt;=H16,"追客対象","初回送信済み")))))))</x:f>
      </x:c>
      <x:c r="M16" s="29" t="str">
        <x:f>IF(B16="","",IF(K16="はい","送信しない",IF(J16="成約","対応完了",IF(J16="返信あり","返信対応",IF(J16="検討中","状況確認",IF(J16="不要","対応終了",IF(G16="","初回メール",IF(I16&lt;&gt;"","追客完了",IF(TODAY()&gt;=H16,"追客メール","待機")))))))))</x:f>
      </x:c>
    </x:row>
    <x:row r="17">
      <x:c r="A17" s="29" t="str">
        <x:f>IF(B17="","",ROW()-4)</x:f>
      </x:c>
      <x:c r="B17" s="30"/>
      <x:c r="C17" s="30"/>
      <x:c r="D17" s="33"/>
      <x:c r="E17" s="33"/>
      <x:c r="F17" s="33"/>
      <x:c r="G17" s="31"/>
      <x:c r="H17" s="32" t="str">
        <x:f>IF(G17="","",G17+'設定・使い方'!$B$4)</x:f>
      </x:c>
      <x:c r="I17" s="31"/>
      <x:c r="J17" s="30" t="str">
        <x:v>未返信</x:v>
      </x:c>
      <x:c r="K17" s="30" t="str">
        <x:v>いいえ</x:v>
      </x:c>
      <x:c r="L17" s="29" t="str">
        <x:f>IF(B17="","",IF(K17="はい","送信禁止",IF(J17="成約","成約",IF(OR(J17="返信あり",J17="検討中",J17="不要"),"返信あり",IF(G17="","未送信",IF(I17&lt;&gt;"","追客済み",IF(TODAY()&gt;=H17,"追客対象","初回送信済み")))))))</x:f>
      </x:c>
      <x:c r="M17" s="29" t="str">
        <x:f>IF(B17="","",IF(K17="はい","送信しない",IF(J17="成約","対応完了",IF(J17="返信あり","返信対応",IF(J17="検討中","状況確認",IF(J17="不要","対応終了",IF(G17="","初回メール",IF(I17&lt;&gt;"","追客完了",IF(TODAY()&gt;=H17,"追客メール","待機")))))))))</x:f>
      </x:c>
    </x:row>
    <x:row r="18">
      <x:c r="A18" s="29" t="str">
        <x:f>IF(B18="","",ROW()-4)</x:f>
      </x:c>
      <x:c r="B18" s="30"/>
      <x:c r="C18" s="30"/>
      <x:c r="D18" s="33"/>
      <x:c r="E18" s="33"/>
      <x:c r="F18" s="33"/>
      <x:c r="G18" s="31"/>
      <x:c r="H18" s="32" t="str">
        <x:f>IF(G18="","",G18+'設定・使い方'!$B$4)</x:f>
      </x:c>
      <x:c r="I18" s="31"/>
      <x:c r="J18" s="30" t="str">
        <x:v>未返信</x:v>
      </x:c>
      <x:c r="K18" s="30" t="str">
        <x:v>いいえ</x:v>
      </x:c>
      <x:c r="L18" s="29" t="str">
        <x:f>IF(B18="","",IF(K18="はい","送信禁止",IF(J18="成約","成約",IF(OR(J18="返信あり",J18="検討中",J18="不要"),"返信あり",IF(G18="","未送信",IF(I18&lt;&gt;"","追客済み",IF(TODAY()&gt;=H18,"追客対象","初回送信済み")))))))</x:f>
      </x:c>
      <x:c r="M18" s="29" t="str">
        <x:f>IF(B18="","",IF(K18="はい","送信しない",IF(J18="成約","対応完了",IF(J18="返信あり","返信対応",IF(J18="検討中","状況確認",IF(J18="不要","対応終了",IF(G18="","初回メール",IF(I18&lt;&gt;"","追客完了",IF(TODAY()&gt;=H18,"追客メール","待機")))))))))</x:f>
      </x:c>
    </x:row>
    <x:row r="19">
      <x:c r="A19" s="29" t="str">
        <x:f>IF(B19="","",ROW()-4)</x:f>
      </x:c>
      <x:c r="B19" s="30"/>
      <x:c r="C19" s="30"/>
      <x:c r="D19" s="33"/>
      <x:c r="E19" s="33"/>
      <x:c r="F19" s="33"/>
      <x:c r="G19" s="31"/>
      <x:c r="H19" s="32" t="str">
        <x:f>IF(G19="","",G19+'設定・使い方'!$B$4)</x:f>
      </x:c>
      <x:c r="I19" s="31"/>
      <x:c r="J19" s="30" t="str">
        <x:v>未返信</x:v>
      </x:c>
      <x:c r="K19" s="30" t="str">
        <x:v>いいえ</x:v>
      </x:c>
      <x:c r="L19" s="29" t="str">
        <x:f>IF(B19="","",IF(K19="はい","送信禁止",IF(J19="成約","成約",IF(OR(J19="返信あり",J19="検討中",J19="不要"),"返信あり",IF(G19="","未送信",IF(I19&lt;&gt;"","追客済み",IF(TODAY()&gt;=H19,"追客対象","初回送信済み")))))))</x:f>
      </x:c>
      <x:c r="M19" s="29" t="str">
        <x:f>IF(B19="","",IF(K19="はい","送信しない",IF(J19="成約","対応完了",IF(J19="返信あり","返信対応",IF(J19="検討中","状況確認",IF(J19="不要","対応終了",IF(G19="","初回メール",IF(I19&lt;&gt;"","追客完了",IF(TODAY()&gt;=H19,"追客メール","待機")))))))))</x:f>
      </x:c>
    </x:row>
    <x:row r="20">
      <x:c r="A20" s="29" t="str">
        <x:f>IF(B20="","",ROW()-4)</x:f>
      </x:c>
      <x:c r="B20" s="30"/>
      <x:c r="C20" s="30"/>
      <x:c r="D20" s="33"/>
      <x:c r="E20" s="33"/>
      <x:c r="F20" s="33"/>
      <x:c r="G20" s="31"/>
      <x:c r="H20" s="32" t="str">
        <x:f>IF(G20="","",G20+'設定・使い方'!$B$4)</x:f>
      </x:c>
      <x:c r="I20" s="31"/>
      <x:c r="J20" s="30" t="str">
        <x:v>未返信</x:v>
      </x:c>
      <x:c r="K20" s="30" t="str">
        <x:v>いいえ</x:v>
      </x:c>
      <x:c r="L20" s="29" t="str">
        <x:f>IF(B20="","",IF(K20="はい","送信禁止",IF(J20="成約","成約",IF(OR(J20="返信あり",J20="検討中",J20="不要"),"返信あり",IF(G20="","未送信",IF(I20&lt;&gt;"","追客済み",IF(TODAY()&gt;=H20,"追客対象","初回送信済み")))))))</x:f>
      </x:c>
      <x:c r="M20" s="29" t="str">
        <x:f>IF(B20="","",IF(K20="はい","送信しない",IF(J20="成約","対応完了",IF(J20="返信あり","返信対応",IF(J20="検討中","状況確認",IF(J20="不要","対応終了",IF(G20="","初回メール",IF(I20&lt;&gt;"","追客完了",IF(TODAY()&gt;=H20,"追客メール","待機")))))))))</x:f>
      </x:c>
    </x:row>
    <x:row r="21">
      <x:c r="A21" s="29" t="str">
        <x:f>IF(B21="","",ROW()-4)</x:f>
      </x:c>
      <x:c r="B21" s="30"/>
      <x:c r="C21" s="30"/>
      <x:c r="D21" s="33"/>
      <x:c r="E21" s="33"/>
      <x:c r="F21" s="33"/>
      <x:c r="G21" s="31"/>
      <x:c r="H21" s="32" t="str">
        <x:f>IF(G21="","",G21+'設定・使い方'!$B$4)</x:f>
      </x:c>
      <x:c r="I21" s="31"/>
      <x:c r="J21" s="30" t="str">
        <x:v>未返信</x:v>
      </x:c>
      <x:c r="K21" s="30" t="str">
        <x:v>いいえ</x:v>
      </x:c>
      <x:c r="L21" s="29" t="str">
        <x:f>IF(B21="","",IF(K21="はい","送信禁止",IF(J21="成約","成約",IF(OR(J21="返信あり",J21="検討中",J21="不要"),"返信あり",IF(G21="","未送信",IF(I21&lt;&gt;"","追客済み",IF(TODAY()&gt;=H21,"追客対象","初回送信済み")))))))</x:f>
      </x:c>
      <x:c r="M21" s="29" t="str">
        <x:f>IF(B21="","",IF(K21="はい","送信しない",IF(J21="成約","対応完了",IF(J21="返信あり","返信対応",IF(J21="検討中","状況確認",IF(J21="不要","対応終了",IF(G21="","初回メール",IF(I21&lt;&gt;"","追客完了",IF(TODAY()&gt;=H21,"追客メール","待機")))))))))</x:f>
      </x:c>
    </x:row>
    <x:row r="22">
      <x:c r="A22" s="29" t="str">
        <x:f>IF(B22="","",ROW()-4)</x:f>
      </x:c>
      <x:c r="B22" s="30"/>
      <x:c r="C22" s="30"/>
      <x:c r="D22" s="33"/>
      <x:c r="E22" s="33"/>
      <x:c r="F22" s="33"/>
      <x:c r="G22" s="31"/>
      <x:c r="H22" s="32" t="str">
        <x:f>IF(G22="","",G22+'設定・使い方'!$B$4)</x:f>
      </x:c>
      <x:c r="I22" s="31"/>
      <x:c r="J22" s="30" t="str">
        <x:v>未返信</x:v>
      </x:c>
      <x:c r="K22" s="30" t="str">
        <x:v>いいえ</x:v>
      </x:c>
      <x:c r="L22" s="29" t="str">
        <x:f>IF(B22="","",IF(K22="はい","送信禁止",IF(J22="成約","成約",IF(OR(J22="返信あり",J22="検討中",J22="不要"),"返信あり",IF(G22="","未送信",IF(I22&lt;&gt;"","追客済み",IF(TODAY()&gt;=H22,"追客対象","初回送信済み")))))))</x:f>
      </x:c>
      <x:c r="M22" s="29" t="str">
        <x:f>IF(B22="","",IF(K22="はい","送信しない",IF(J22="成約","対応完了",IF(J22="返信あり","返信対応",IF(J22="検討中","状況確認",IF(J22="不要","対応終了",IF(G22="","初回メール",IF(I22&lt;&gt;"","追客完了",IF(TODAY()&gt;=H22,"追客メール","待機")))))))))</x:f>
      </x:c>
    </x:row>
    <x:row r="23">
      <x:c r="A23" s="29" t="str">
        <x:f>IF(B23="","",ROW()-4)</x:f>
      </x:c>
      <x:c r="B23" s="30"/>
      <x:c r="C23" s="30"/>
      <x:c r="D23" s="33"/>
      <x:c r="E23" s="33"/>
      <x:c r="F23" s="33"/>
      <x:c r="G23" s="31"/>
      <x:c r="H23" s="32" t="str">
        <x:f>IF(G23="","",G23+'設定・使い方'!$B$4)</x:f>
      </x:c>
      <x:c r="I23" s="31"/>
      <x:c r="J23" s="30" t="str">
        <x:v>未返信</x:v>
      </x:c>
      <x:c r="K23" s="30" t="str">
        <x:v>いいえ</x:v>
      </x:c>
      <x:c r="L23" s="29" t="str">
        <x:f>IF(B23="","",IF(K23="はい","送信禁止",IF(J23="成約","成約",IF(OR(J23="返信あり",J23="検討中",J23="不要"),"返信あり",IF(G23="","未送信",IF(I23&lt;&gt;"","追客済み",IF(TODAY()&gt;=H23,"追客対象","初回送信済み")))))))</x:f>
      </x:c>
      <x:c r="M23" s="29" t="str">
        <x:f>IF(B23="","",IF(K23="はい","送信しない",IF(J23="成約","対応完了",IF(J23="返信あり","返信対応",IF(J23="検討中","状況確認",IF(J23="不要","対応終了",IF(G23="","初回メール",IF(I23&lt;&gt;"","追客完了",IF(TODAY()&gt;=H23,"追客メール","待機")))))))))</x:f>
      </x:c>
    </x:row>
    <x:row r="24">
      <x:c r="A24" s="29" t="str">
        <x:f>IF(B24="","",ROW()-4)</x:f>
      </x:c>
      <x:c r="B24" s="30"/>
      <x:c r="C24" s="30"/>
      <x:c r="D24" s="33"/>
      <x:c r="E24" s="33"/>
      <x:c r="F24" s="33"/>
      <x:c r="G24" s="31"/>
      <x:c r="H24" s="32" t="str">
        <x:f>IF(G24="","",G24+'設定・使い方'!$B$4)</x:f>
      </x:c>
      <x:c r="I24" s="31"/>
      <x:c r="J24" s="30" t="str">
        <x:v>未返信</x:v>
      </x:c>
      <x:c r="K24" s="30" t="str">
        <x:v>いいえ</x:v>
      </x:c>
      <x:c r="L24" s="29" t="str">
        <x:f>IF(B24="","",IF(K24="はい","送信禁止",IF(J24="成約","成約",IF(OR(J24="返信あり",J24="検討中",J24="不要"),"返信あり",IF(G24="","未送信",IF(I24&lt;&gt;"","追客済み",IF(TODAY()&gt;=H24,"追客対象","初回送信済み")))))))</x:f>
      </x:c>
      <x:c r="M24" s="29" t="str">
        <x:f>IF(B24="","",IF(K24="はい","送信しない",IF(J24="成約","対応完了",IF(J24="返信あり","返信対応",IF(J24="検討中","状況確認",IF(J24="不要","対応終了",IF(G24="","初回メール",IF(I24&lt;&gt;"","追客完了",IF(TODAY()&gt;=H24,"追客メール","待機")))))))))</x:f>
      </x:c>
    </x:row>
    <x:row r="25">
      <x:c r="A25" s="29" t="str">
        <x:f>IF(B25="","",ROW()-4)</x:f>
      </x:c>
      <x:c r="B25" s="30"/>
      <x:c r="C25" s="30"/>
      <x:c r="D25" s="33"/>
      <x:c r="E25" s="33"/>
      <x:c r="F25" s="33"/>
      <x:c r="G25" s="31"/>
      <x:c r="H25" s="32" t="str">
        <x:f>IF(G25="","",G25+'設定・使い方'!$B$4)</x:f>
      </x:c>
      <x:c r="I25" s="31"/>
      <x:c r="J25" s="30" t="str">
        <x:v>未返信</x:v>
      </x:c>
      <x:c r="K25" s="30" t="str">
        <x:v>いいえ</x:v>
      </x:c>
      <x:c r="L25" s="29" t="str">
        <x:f>IF(B25="","",IF(K25="はい","送信禁止",IF(J25="成約","成約",IF(OR(J25="返信あり",J25="検討中",J25="不要"),"返信あり",IF(G25="","未送信",IF(I25&lt;&gt;"","追客済み",IF(TODAY()&gt;=H25,"追客対象","初回送信済み")))))))</x:f>
      </x:c>
      <x:c r="M25" s="29" t="str">
        <x:f>IF(B25="","",IF(K25="はい","送信しない",IF(J25="成約","対応完了",IF(J25="返信あり","返信対応",IF(J25="検討中","状況確認",IF(J25="不要","対応終了",IF(G25="","初回メール",IF(I25&lt;&gt;"","追客完了",IF(TODAY()&gt;=H25,"追客メール","待機")))))))))</x:f>
      </x:c>
    </x:row>
    <x:row r="26">
      <x:c r="A26" s="29" t="str">
        <x:f>IF(B26="","",ROW()-4)</x:f>
      </x:c>
      <x:c r="B26" s="30"/>
      <x:c r="C26" s="30"/>
      <x:c r="D26" s="33"/>
      <x:c r="E26" s="33"/>
      <x:c r="F26" s="33"/>
      <x:c r="G26" s="31"/>
      <x:c r="H26" s="32" t="str">
        <x:f>IF(G26="","",G26+'設定・使い方'!$B$4)</x:f>
      </x:c>
      <x:c r="I26" s="31"/>
      <x:c r="J26" s="30" t="str">
        <x:v>未返信</x:v>
      </x:c>
      <x:c r="K26" s="30" t="str">
        <x:v>いいえ</x:v>
      </x:c>
      <x:c r="L26" s="29" t="str">
        <x:f>IF(B26="","",IF(K26="はい","送信禁止",IF(J26="成約","成約",IF(OR(J26="返信あり",J26="検討中",J26="不要"),"返信あり",IF(G26="","未送信",IF(I26&lt;&gt;"","追客済み",IF(TODAY()&gt;=H26,"追客対象","初回送信済み")))))))</x:f>
      </x:c>
      <x:c r="M26" s="29" t="str">
        <x:f>IF(B26="","",IF(K26="はい","送信しない",IF(J26="成約","対応完了",IF(J26="返信あり","返信対応",IF(J26="検討中","状況確認",IF(J26="不要","対応終了",IF(G26="","初回メール",IF(I26&lt;&gt;"","追客完了",IF(TODAY()&gt;=H26,"追客メール","待機")))))))))</x:f>
      </x:c>
    </x:row>
    <x:row r="27">
      <x:c r="A27" s="29" t="str">
        <x:f>IF(B27="","",ROW()-4)</x:f>
      </x:c>
      <x:c r="B27" s="30"/>
      <x:c r="C27" s="30"/>
      <x:c r="D27" s="33"/>
      <x:c r="E27" s="33"/>
      <x:c r="F27" s="33"/>
      <x:c r="G27" s="31"/>
      <x:c r="H27" s="32" t="str">
        <x:f>IF(G27="","",G27+'設定・使い方'!$B$4)</x:f>
      </x:c>
      <x:c r="I27" s="31"/>
      <x:c r="J27" s="30" t="str">
        <x:v>未返信</x:v>
      </x:c>
      <x:c r="K27" s="30" t="str">
        <x:v>いいえ</x:v>
      </x:c>
      <x:c r="L27" s="29" t="str">
        <x:f>IF(B27="","",IF(K27="はい","送信禁止",IF(J27="成約","成約",IF(OR(J27="返信あり",J27="検討中",J27="不要"),"返信あり",IF(G27="","未送信",IF(I27&lt;&gt;"","追客済み",IF(TODAY()&gt;=H27,"追客対象","初回送信済み")))))))</x:f>
      </x:c>
      <x:c r="M27" s="29" t="str">
        <x:f>IF(B27="","",IF(K27="はい","送信しない",IF(J27="成約","対応完了",IF(J27="返信あり","返信対応",IF(J27="検討中","状況確認",IF(J27="不要","対応終了",IF(G27="","初回メール",IF(I27&lt;&gt;"","追客完了",IF(TODAY()&gt;=H27,"追客メール","待機")))))))))</x:f>
      </x:c>
    </x:row>
    <x:row r="28">
      <x:c r="A28" s="29" t="str">
        <x:f>IF(B28="","",ROW()-4)</x:f>
      </x:c>
      <x:c r="B28" s="30"/>
      <x:c r="C28" s="30"/>
      <x:c r="D28" s="33"/>
      <x:c r="E28" s="33"/>
      <x:c r="F28" s="33"/>
      <x:c r="G28" s="31"/>
      <x:c r="H28" s="32" t="str">
        <x:f>IF(G28="","",G28+'設定・使い方'!$B$4)</x:f>
      </x:c>
      <x:c r="I28" s="31"/>
      <x:c r="J28" s="30" t="str">
        <x:v>未返信</x:v>
      </x:c>
      <x:c r="K28" s="30" t="str">
        <x:v>いいえ</x:v>
      </x:c>
      <x:c r="L28" s="29" t="str">
        <x:f>IF(B28="","",IF(K28="はい","送信禁止",IF(J28="成約","成約",IF(OR(J28="返信あり",J28="検討中",J28="不要"),"返信あり",IF(G28="","未送信",IF(I28&lt;&gt;"","追客済み",IF(TODAY()&gt;=H28,"追客対象","初回送信済み")))))))</x:f>
      </x:c>
      <x:c r="M28" s="29" t="str">
        <x:f>IF(B28="","",IF(K28="はい","送信しない",IF(J28="成約","対応完了",IF(J28="返信あり","返信対応",IF(J28="検討中","状況確認",IF(J28="不要","対応終了",IF(G28="","初回メール",IF(I28&lt;&gt;"","追客完了",IF(TODAY()&gt;=H28,"追客メール","待機")))))))))</x:f>
      </x:c>
    </x:row>
    <x:row r="29">
      <x:c r="A29" s="29" t="str">
        <x:f>IF(B29="","",ROW()-4)</x:f>
      </x:c>
      <x:c r="B29" s="30"/>
      <x:c r="C29" s="30"/>
      <x:c r="D29" s="33"/>
      <x:c r="E29" s="33"/>
      <x:c r="F29" s="33"/>
      <x:c r="G29" s="31"/>
      <x:c r="H29" s="32" t="str">
        <x:f>IF(G29="","",G29+'設定・使い方'!$B$4)</x:f>
      </x:c>
      <x:c r="I29" s="31"/>
      <x:c r="J29" s="30" t="str">
        <x:v>未返信</x:v>
      </x:c>
      <x:c r="K29" s="30" t="str">
        <x:v>いいえ</x:v>
      </x:c>
      <x:c r="L29" s="29" t="str">
        <x:f>IF(B29="","",IF(K29="はい","送信禁止",IF(J29="成約","成約",IF(OR(J29="返信あり",J29="検討中",J29="不要"),"返信あり",IF(G29="","未送信",IF(I29&lt;&gt;"","追客済み",IF(TODAY()&gt;=H29,"追客対象","初回送信済み")))))))</x:f>
      </x:c>
      <x:c r="M29" s="29" t="str">
        <x:f>IF(B29="","",IF(K29="はい","送信しない",IF(J29="成約","対応完了",IF(J29="返信あり","返信対応",IF(J29="検討中","状況確認",IF(J29="不要","対応終了",IF(G29="","初回メール",IF(I29&lt;&gt;"","追客完了",IF(TODAY()&gt;=H29,"追客メール","待機")))))))))</x:f>
      </x:c>
    </x:row>
    <x:row r="30">
      <x:c r="A30" s="29" t="str">
        <x:f>IF(B30="","",ROW()-4)</x:f>
      </x:c>
      <x:c r="B30" s="30"/>
      <x:c r="C30" s="30"/>
      <x:c r="D30" s="33"/>
      <x:c r="E30" s="33"/>
      <x:c r="F30" s="33"/>
      <x:c r="G30" s="31"/>
      <x:c r="H30" s="32" t="str">
        <x:f>IF(G30="","",G30+'設定・使い方'!$B$4)</x:f>
      </x:c>
      <x:c r="I30" s="31"/>
      <x:c r="J30" s="30" t="str">
        <x:v>未返信</x:v>
      </x:c>
      <x:c r="K30" s="30" t="str">
        <x:v>いいえ</x:v>
      </x:c>
      <x:c r="L30" s="29" t="str">
        <x:f>IF(B30="","",IF(K30="はい","送信禁止",IF(J30="成約","成約",IF(OR(J30="返信あり",J30="検討中",J30="不要"),"返信あり",IF(G30="","未送信",IF(I30&lt;&gt;"","追客済み",IF(TODAY()&gt;=H30,"追客対象","初回送信済み")))))))</x:f>
      </x:c>
      <x:c r="M30" s="29" t="str">
        <x:f>IF(B30="","",IF(K30="はい","送信しない",IF(J30="成約","対応完了",IF(J30="返信あり","返信対応",IF(J30="検討中","状況確認",IF(J30="不要","対応終了",IF(G30="","初回メール",IF(I30&lt;&gt;"","追客完了",IF(TODAY()&gt;=H30,"追客メール","待機")))))))))</x:f>
      </x:c>
    </x:row>
    <x:row r="31">
      <x:c r="A31" s="29" t="str">
        <x:f>IF(B31="","",ROW()-4)</x:f>
      </x:c>
      <x:c r="B31" s="30"/>
      <x:c r="C31" s="30"/>
      <x:c r="D31" s="33"/>
      <x:c r="E31" s="33"/>
      <x:c r="F31" s="33"/>
      <x:c r="G31" s="31"/>
      <x:c r="H31" s="32" t="str">
        <x:f>IF(G31="","",G31+'設定・使い方'!$B$4)</x:f>
      </x:c>
      <x:c r="I31" s="31"/>
      <x:c r="J31" s="30" t="str">
        <x:v>未返信</x:v>
      </x:c>
      <x:c r="K31" s="30" t="str">
        <x:v>いいえ</x:v>
      </x:c>
      <x:c r="L31" s="29" t="str">
        <x:f>IF(B31="","",IF(K31="はい","送信禁止",IF(J31="成約","成約",IF(OR(J31="返信あり",J31="検討中",J31="不要"),"返信あり",IF(G31="","未送信",IF(I31&lt;&gt;"","追客済み",IF(TODAY()&gt;=H31,"追客対象","初回送信済み")))))))</x:f>
      </x:c>
      <x:c r="M31" s="29" t="str">
        <x:f>IF(B31="","",IF(K31="はい","送信しない",IF(J31="成約","対応完了",IF(J31="返信あり","返信対応",IF(J31="検討中","状況確認",IF(J31="不要","対応終了",IF(G31="","初回メール",IF(I31&lt;&gt;"","追客完了",IF(TODAY()&gt;=H31,"追客メール","待機")))))))))</x:f>
      </x:c>
    </x:row>
    <x:row r="32">
      <x:c r="A32" s="29" t="str">
        <x:f>IF(B32="","",ROW()-4)</x:f>
      </x:c>
      <x:c r="B32" s="30"/>
      <x:c r="C32" s="30"/>
      <x:c r="D32" s="33"/>
      <x:c r="E32" s="33"/>
      <x:c r="F32" s="33"/>
      <x:c r="G32" s="31"/>
      <x:c r="H32" s="32" t="str">
        <x:f>IF(G32="","",G32+'設定・使い方'!$B$4)</x:f>
      </x:c>
      <x:c r="I32" s="31"/>
      <x:c r="J32" s="30" t="str">
        <x:v>未返信</x:v>
      </x:c>
      <x:c r="K32" s="30" t="str">
        <x:v>いいえ</x:v>
      </x:c>
      <x:c r="L32" s="29" t="str">
        <x:f>IF(B32="","",IF(K32="はい","送信禁止",IF(J32="成約","成約",IF(OR(J32="返信あり",J32="検討中",J32="不要"),"返信あり",IF(G32="","未送信",IF(I32&lt;&gt;"","追客済み",IF(TODAY()&gt;=H32,"追客対象","初回送信済み")))))))</x:f>
      </x:c>
      <x:c r="M32" s="29" t="str">
        <x:f>IF(B32="","",IF(K32="はい","送信しない",IF(J32="成約","対応完了",IF(J32="返信あり","返信対応",IF(J32="検討中","状況確認",IF(J32="不要","対応終了",IF(G32="","初回メール",IF(I32&lt;&gt;"","追客完了",IF(TODAY()&gt;=H32,"追客メール","待機")))))))))</x:f>
      </x:c>
    </x:row>
    <x:row r="33">
      <x:c r="A33" s="29" t="str">
        <x:f>IF(B33="","",ROW()-4)</x:f>
      </x:c>
      <x:c r="B33" s="30"/>
      <x:c r="C33" s="30"/>
      <x:c r="D33" s="33"/>
      <x:c r="E33" s="33"/>
      <x:c r="F33" s="33"/>
      <x:c r="G33" s="31"/>
      <x:c r="H33" s="32" t="str">
        <x:f>IF(G33="","",G33+'設定・使い方'!$B$4)</x:f>
      </x:c>
      <x:c r="I33" s="31"/>
      <x:c r="J33" s="30" t="str">
        <x:v>未返信</x:v>
      </x:c>
      <x:c r="K33" s="30" t="str">
        <x:v>いいえ</x:v>
      </x:c>
      <x:c r="L33" s="29" t="str">
        <x:f>IF(B33="","",IF(K33="はい","送信禁止",IF(J33="成約","成約",IF(OR(J33="返信あり",J33="検討中",J33="不要"),"返信あり",IF(G33="","未送信",IF(I33&lt;&gt;"","追客済み",IF(TODAY()&gt;=H33,"追客対象","初回送信済み")))))))</x:f>
      </x:c>
      <x:c r="M33" s="29" t="str">
        <x:f>IF(B33="","",IF(K33="はい","送信しない",IF(J33="成約","対応完了",IF(J33="返信あり","返信対応",IF(J33="検討中","状況確認",IF(J33="不要","対応終了",IF(G33="","初回メール",IF(I33&lt;&gt;"","追客完了",IF(TODAY()&gt;=H33,"追客メール","待機")))))))))</x:f>
      </x:c>
    </x:row>
    <x:row r="34">
      <x:c r="A34" s="29" t="str">
        <x:f>IF(B34="","",ROW()-4)</x:f>
      </x:c>
      <x:c r="B34" s="30"/>
      <x:c r="C34" s="30"/>
      <x:c r="D34" s="33"/>
      <x:c r="E34" s="33"/>
      <x:c r="F34" s="33"/>
      <x:c r="G34" s="31"/>
      <x:c r="H34" s="32" t="str">
        <x:f>IF(G34="","",G34+'設定・使い方'!$B$4)</x:f>
      </x:c>
      <x:c r="I34" s="31"/>
      <x:c r="J34" s="30" t="str">
        <x:v>未返信</x:v>
      </x:c>
      <x:c r="K34" s="30" t="str">
        <x:v>いいえ</x:v>
      </x:c>
      <x:c r="L34" s="29" t="str">
        <x:f>IF(B34="","",IF(K34="はい","送信禁止",IF(J34="成約","成約",IF(OR(J34="返信あり",J34="検討中",J34="不要"),"返信あり",IF(G34="","未送信",IF(I34&lt;&gt;"","追客済み",IF(TODAY()&gt;=H34,"追客対象","初回送信済み")))))))</x:f>
      </x:c>
      <x:c r="M34" s="29" t="str">
        <x:f>IF(B34="","",IF(K34="はい","送信しない",IF(J34="成約","対応完了",IF(J34="返信あり","返信対応",IF(J34="検討中","状況確認",IF(J34="不要","対応終了",IF(G34="","初回メール",IF(I34&lt;&gt;"","追客完了",IF(TODAY()&gt;=H34,"追客メール","待機")))))))))</x:f>
      </x:c>
    </x:row>
    <x:row r="35">
      <x:c r="A35" s="29" t="str">
        <x:f>IF(B35="","",ROW()-4)</x:f>
      </x:c>
      <x:c r="B35" s="30"/>
      <x:c r="C35" s="30"/>
      <x:c r="D35" s="33"/>
      <x:c r="E35" s="33"/>
      <x:c r="F35" s="33"/>
      <x:c r="G35" s="31"/>
      <x:c r="H35" s="32" t="str">
        <x:f>IF(G35="","",G35+'設定・使い方'!$B$4)</x:f>
      </x:c>
      <x:c r="I35" s="31"/>
      <x:c r="J35" s="30" t="str">
        <x:v>未返信</x:v>
      </x:c>
      <x:c r="K35" s="30" t="str">
        <x:v>いいえ</x:v>
      </x:c>
      <x:c r="L35" s="29" t="str">
        <x:f>IF(B35="","",IF(K35="はい","送信禁止",IF(J35="成約","成約",IF(OR(J35="返信あり",J35="検討中",J35="不要"),"返信あり",IF(G35="","未送信",IF(I35&lt;&gt;"","追客済み",IF(TODAY()&gt;=H35,"追客対象","初回送信済み")))))))</x:f>
      </x:c>
      <x:c r="M35" s="29" t="str">
        <x:f>IF(B35="","",IF(K35="はい","送信しない",IF(J35="成約","対応完了",IF(J35="返信あり","返信対応",IF(J35="検討中","状況確認",IF(J35="不要","対応終了",IF(G35="","初回メール",IF(I35&lt;&gt;"","追客完了",IF(TODAY()&gt;=H35,"追客メール","待機")))))))))</x:f>
      </x:c>
    </x:row>
    <x:row r="36">
      <x:c r="A36" s="29" t="str">
        <x:f>IF(B36="","",ROW()-4)</x:f>
      </x:c>
      <x:c r="B36" s="30"/>
      <x:c r="C36" s="30"/>
      <x:c r="D36" s="33"/>
      <x:c r="E36" s="33"/>
      <x:c r="F36" s="33"/>
      <x:c r="G36" s="31"/>
      <x:c r="H36" s="32" t="str">
        <x:f>IF(G36="","",G36+'設定・使い方'!$B$4)</x:f>
      </x:c>
      <x:c r="I36" s="31"/>
      <x:c r="J36" s="30" t="str">
        <x:v>未返信</x:v>
      </x:c>
      <x:c r="K36" s="30" t="str">
        <x:v>いいえ</x:v>
      </x:c>
      <x:c r="L36" s="29" t="str">
        <x:f>IF(B36="","",IF(K36="はい","送信禁止",IF(J36="成約","成約",IF(OR(J36="返信あり",J36="検討中",J36="不要"),"返信あり",IF(G36="","未送信",IF(I36&lt;&gt;"","追客済み",IF(TODAY()&gt;=H36,"追客対象","初回送信済み")))))))</x:f>
      </x:c>
      <x:c r="M36" s="29" t="str">
        <x:f>IF(B36="","",IF(K36="はい","送信しない",IF(J36="成約","対応完了",IF(J36="返信あり","返信対応",IF(J36="検討中","状況確認",IF(J36="不要","対応終了",IF(G36="","初回メール",IF(I36&lt;&gt;"","追客完了",IF(TODAY()&gt;=H36,"追客メール","待機")))))))))</x:f>
      </x:c>
    </x:row>
    <x:row r="37">
      <x:c r="A37" s="29" t="str">
        <x:f>IF(B37="","",ROW()-4)</x:f>
      </x:c>
      <x:c r="B37" s="30"/>
      <x:c r="C37" s="30"/>
      <x:c r="D37" s="33"/>
      <x:c r="E37" s="33"/>
      <x:c r="F37" s="33"/>
      <x:c r="G37" s="31"/>
      <x:c r="H37" s="32" t="str">
        <x:f>IF(G37="","",G37+'設定・使い方'!$B$4)</x:f>
      </x:c>
      <x:c r="I37" s="31"/>
      <x:c r="J37" s="30" t="str">
        <x:v>未返信</x:v>
      </x:c>
      <x:c r="K37" s="30" t="str">
        <x:v>いいえ</x:v>
      </x:c>
      <x:c r="L37" s="29" t="str">
        <x:f>IF(B37="","",IF(K37="はい","送信禁止",IF(J37="成約","成約",IF(OR(J37="返信あり",J37="検討中",J37="不要"),"返信あり",IF(G37="","未送信",IF(I37&lt;&gt;"","追客済み",IF(TODAY()&gt;=H37,"追客対象","初回送信済み")))))))</x:f>
      </x:c>
      <x:c r="M37" s="29" t="str">
        <x:f>IF(B37="","",IF(K37="はい","送信しない",IF(J37="成約","対応完了",IF(J37="返信あり","返信対応",IF(J37="検討中","状況確認",IF(J37="不要","対応終了",IF(G37="","初回メール",IF(I37&lt;&gt;"","追客完了",IF(TODAY()&gt;=H37,"追客メール","待機")))))))))</x:f>
      </x:c>
    </x:row>
    <x:row r="38">
      <x:c r="A38" s="29" t="str">
        <x:f>IF(B38="","",ROW()-4)</x:f>
      </x:c>
      <x:c r="B38" s="30"/>
      <x:c r="C38" s="30"/>
      <x:c r="D38" s="33"/>
      <x:c r="E38" s="33"/>
      <x:c r="F38" s="33"/>
      <x:c r="G38" s="31"/>
      <x:c r="H38" s="32" t="str">
        <x:f>IF(G38="","",G38+'設定・使い方'!$B$4)</x:f>
      </x:c>
      <x:c r="I38" s="31"/>
      <x:c r="J38" s="30" t="str">
        <x:v>未返信</x:v>
      </x:c>
      <x:c r="K38" s="30" t="str">
        <x:v>いいえ</x:v>
      </x:c>
      <x:c r="L38" s="29" t="str">
        <x:f>IF(B38="","",IF(K38="はい","送信禁止",IF(J38="成約","成約",IF(OR(J38="返信あり",J38="検討中",J38="不要"),"返信あり",IF(G38="","未送信",IF(I38&lt;&gt;"","追客済み",IF(TODAY()&gt;=H38,"追客対象","初回送信済み")))))))</x:f>
      </x:c>
      <x:c r="M38" s="29" t="str">
        <x:f>IF(B38="","",IF(K38="はい","送信しない",IF(J38="成約","対応完了",IF(J38="返信あり","返信対応",IF(J38="検討中","状況確認",IF(J38="不要","対応終了",IF(G38="","初回メール",IF(I38&lt;&gt;"","追客完了",IF(TODAY()&gt;=H38,"追客メール","待機")))))))))</x:f>
      </x:c>
    </x:row>
    <x:row r="39">
      <x:c r="A39" s="29" t="str">
        <x:f>IF(B39="","",ROW()-4)</x:f>
      </x:c>
      <x:c r="B39" s="30"/>
      <x:c r="C39" s="30"/>
      <x:c r="D39" s="33"/>
      <x:c r="E39" s="33"/>
      <x:c r="F39" s="33"/>
      <x:c r="G39" s="31"/>
      <x:c r="H39" s="32" t="str">
        <x:f>IF(G39="","",G39+'設定・使い方'!$B$4)</x:f>
      </x:c>
      <x:c r="I39" s="31"/>
      <x:c r="J39" s="30" t="str">
        <x:v>未返信</x:v>
      </x:c>
      <x:c r="K39" s="30" t="str">
        <x:v>いいえ</x:v>
      </x:c>
      <x:c r="L39" s="29" t="str">
        <x:f>IF(B39="","",IF(K39="はい","送信禁止",IF(J39="成約","成約",IF(OR(J39="返信あり",J39="検討中",J39="不要"),"返信あり",IF(G39="","未送信",IF(I39&lt;&gt;"","追客済み",IF(TODAY()&gt;=H39,"追客対象","初回送信済み")))))))</x:f>
      </x:c>
      <x:c r="M39" s="29" t="str">
        <x:f>IF(B39="","",IF(K39="はい","送信しない",IF(J39="成約","対応完了",IF(J39="返信あり","返信対応",IF(J39="検討中","状況確認",IF(J39="不要","対応終了",IF(G39="","初回メール",IF(I39&lt;&gt;"","追客完了",IF(TODAY()&gt;=H39,"追客メール","待機")))))))))</x:f>
      </x:c>
    </x:row>
    <x:row r="40">
      <x:c r="A40" s="29" t="str">
        <x:f>IF(B40="","",ROW()-4)</x:f>
      </x:c>
      <x:c r="B40" s="30"/>
      <x:c r="C40" s="30"/>
      <x:c r="D40" s="33"/>
      <x:c r="E40" s="33"/>
      <x:c r="F40" s="33"/>
      <x:c r="G40" s="31"/>
      <x:c r="H40" s="32" t="str">
        <x:f>IF(G40="","",G40+'設定・使い方'!$B$4)</x:f>
      </x:c>
      <x:c r="I40" s="31"/>
      <x:c r="J40" s="30" t="str">
        <x:v>未返信</x:v>
      </x:c>
      <x:c r="K40" s="30" t="str">
        <x:v>いいえ</x:v>
      </x:c>
      <x:c r="L40" s="29" t="str">
        <x:f>IF(B40="","",IF(K40="はい","送信禁止",IF(J40="成約","成約",IF(OR(J40="返信あり",J40="検討中",J40="不要"),"返信あり",IF(G40="","未送信",IF(I40&lt;&gt;"","追客済み",IF(TODAY()&gt;=H40,"追客対象","初回送信済み")))))))</x:f>
      </x:c>
      <x:c r="M40" s="29" t="str">
        <x:f>IF(B40="","",IF(K40="はい","送信しない",IF(J40="成約","対応完了",IF(J40="返信あり","返信対応",IF(J40="検討中","状況確認",IF(J40="不要","対応終了",IF(G40="","初回メール",IF(I40&lt;&gt;"","追客完了",IF(TODAY()&gt;=H40,"追客メール","待機")))))))))</x:f>
      </x:c>
    </x:row>
    <x:row r="41">
      <x:c r="A41" s="29" t="str">
        <x:f>IF(B41="","",ROW()-4)</x:f>
      </x:c>
      <x:c r="B41" s="30"/>
      <x:c r="C41" s="30"/>
      <x:c r="D41" s="33"/>
      <x:c r="E41" s="33"/>
      <x:c r="F41" s="33"/>
      <x:c r="G41" s="31"/>
      <x:c r="H41" s="32" t="str">
        <x:f>IF(G41="","",G41+'設定・使い方'!$B$4)</x:f>
      </x:c>
      <x:c r="I41" s="31"/>
      <x:c r="J41" s="30" t="str">
        <x:v>未返信</x:v>
      </x:c>
      <x:c r="K41" s="30" t="str">
        <x:v>いいえ</x:v>
      </x:c>
      <x:c r="L41" s="29" t="str">
        <x:f>IF(B41="","",IF(K41="はい","送信禁止",IF(J41="成約","成約",IF(OR(J41="返信あり",J41="検討中",J41="不要"),"返信あり",IF(G41="","未送信",IF(I41&lt;&gt;"","追客済み",IF(TODAY()&gt;=H41,"追客対象","初回送信済み")))))))</x:f>
      </x:c>
      <x:c r="M41" s="29" t="str">
        <x:f>IF(B41="","",IF(K41="はい","送信しない",IF(J41="成約","対応完了",IF(J41="返信あり","返信対応",IF(J41="検討中","状況確認",IF(J41="不要","対応終了",IF(G41="","初回メール",IF(I41&lt;&gt;"","追客完了",IF(TODAY()&gt;=H41,"追客メール","待機")))))))))</x:f>
      </x:c>
    </x:row>
    <x:row r="42">
      <x:c r="A42" s="29" t="str">
        <x:f>IF(B42="","",ROW()-4)</x:f>
      </x:c>
      <x:c r="B42" s="30"/>
      <x:c r="C42" s="30"/>
      <x:c r="D42" s="33"/>
      <x:c r="E42" s="33"/>
      <x:c r="F42" s="33"/>
      <x:c r="G42" s="31"/>
      <x:c r="H42" s="32" t="str">
        <x:f>IF(G42="","",G42+'設定・使い方'!$B$4)</x:f>
      </x:c>
      <x:c r="I42" s="31"/>
      <x:c r="J42" s="30" t="str">
        <x:v>未返信</x:v>
      </x:c>
      <x:c r="K42" s="30" t="str">
        <x:v>いいえ</x:v>
      </x:c>
      <x:c r="L42" s="29" t="str">
        <x:f>IF(B42="","",IF(K42="はい","送信禁止",IF(J42="成約","成約",IF(OR(J42="返信あり",J42="検討中",J42="不要"),"返信あり",IF(G42="","未送信",IF(I42&lt;&gt;"","追客済み",IF(TODAY()&gt;=H42,"追客対象","初回送信済み")))))))</x:f>
      </x:c>
      <x:c r="M42" s="29" t="str">
        <x:f>IF(B42="","",IF(K42="はい","送信しない",IF(J42="成約","対応完了",IF(J42="返信あり","返信対応",IF(J42="検討中","状況確認",IF(J42="不要","対応終了",IF(G42="","初回メール",IF(I42&lt;&gt;"","追客完了",IF(TODAY()&gt;=H42,"追客メール","待機")))))))))</x:f>
      </x:c>
    </x:row>
    <x:row r="43">
      <x:c r="A43" s="29" t="str">
        <x:f>IF(B43="","",ROW()-4)</x:f>
      </x:c>
      <x:c r="B43" s="30"/>
      <x:c r="C43" s="30"/>
      <x:c r="D43" s="33"/>
      <x:c r="E43" s="33"/>
      <x:c r="F43" s="33"/>
      <x:c r="G43" s="31"/>
      <x:c r="H43" s="32" t="str">
        <x:f>IF(G43="","",G43+'設定・使い方'!$B$4)</x:f>
      </x:c>
      <x:c r="I43" s="31"/>
      <x:c r="J43" s="30" t="str">
        <x:v>未返信</x:v>
      </x:c>
      <x:c r="K43" s="30" t="str">
        <x:v>いいえ</x:v>
      </x:c>
      <x:c r="L43" s="29" t="str">
        <x:f>IF(B43="","",IF(K43="はい","送信禁止",IF(J43="成約","成約",IF(OR(J43="返信あり",J43="検討中",J43="不要"),"返信あり",IF(G43="","未送信",IF(I43&lt;&gt;"","追客済み",IF(TODAY()&gt;=H43,"追客対象","初回送信済み")))))))</x:f>
      </x:c>
      <x:c r="M43" s="29" t="str">
        <x:f>IF(B43="","",IF(K43="はい","送信しない",IF(J43="成約","対応完了",IF(J43="返信あり","返信対応",IF(J43="検討中","状況確認",IF(J43="不要","対応終了",IF(G43="","初回メール",IF(I43&lt;&gt;"","追客完了",IF(TODAY()&gt;=H43,"追客メール","待機")))))))))</x:f>
      </x:c>
    </x:row>
    <x:row r="44">
      <x:c r="A44" s="29" t="str">
        <x:f>IF(B44="","",ROW()-4)</x:f>
      </x:c>
      <x:c r="B44" s="30"/>
      <x:c r="C44" s="30"/>
      <x:c r="D44" s="33"/>
      <x:c r="E44" s="33"/>
      <x:c r="F44" s="33"/>
      <x:c r="G44" s="31"/>
      <x:c r="H44" s="32" t="str">
        <x:f>IF(G44="","",G44+'設定・使い方'!$B$4)</x:f>
      </x:c>
      <x:c r="I44" s="31"/>
      <x:c r="J44" s="30" t="str">
        <x:v>未返信</x:v>
      </x:c>
      <x:c r="K44" s="30" t="str">
        <x:v>いいえ</x:v>
      </x:c>
      <x:c r="L44" s="29" t="str">
        <x:f>IF(B44="","",IF(K44="はい","送信禁止",IF(J44="成約","成約",IF(OR(J44="返信あり",J44="検討中",J44="不要"),"返信あり",IF(G44="","未送信",IF(I44&lt;&gt;"","追客済み",IF(TODAY()&gt;=H44,"追客対象","初回送信済み")))))))</x:f>
      </x:c>
      <x:c r="M44" s="29" t="str">
        <x:f>IF(B44="","",IF(K44="はい","送信しない",IF(J44="成約","対応完了",IF(J44="返信あり","返信対応",IF(J44="検討中","状況確認",IF(J44="不要","対応終了",IF(G44="","初回メール",IF(I44&lt;&gt;"","追客完了",IF(TODAY()&gt;=H44,"追客メール","待機")))))))))</x:f>
      </x:c>
    </x:row>
    <x:row r="45">
      <x:c r="A45" s="29" t="str">
        <x:f>IF(B45="","",ROW()-4)</x:f>
      </x:c>
      <x:c r="B45" s="30"/>
      <x:c r="C45" s="30"/>
      <x:c r="D45" s="33"/>
      <x:c r="E45" s="33"/>
      <x:c r="F45" s="33"/>
      <x:c r="G45" s="31"/>
      <x:c r="H45" s="32" t="str">
        <x:f>IF(G45="","",G45+'設定・使い方'!$B$4)</x:f>
      </x:c>
      <x:c r="I45" s="31"/>
      <x:c r="J45" s="30" t="str">
        <x:v>未返信</x:v>
      </x:c>
      <x:c r="K45" s="30" t="str">
        <x:v>いいえ</x:v>
      </x:c>
      <x:c r="L45" s="29" t="str">
        <x:f>IF(B45="","",IF(K45="はい","送信禁止",IF(J45="成約","成約",IF(OR(J45="返信あり",J45="検討中",J45="不要"),"返信あり",IF(G45="","未送信",IF(I45&lt;&gt;"","追客済み",IF(TODAY()&gt;=H45,"追客対象","初回送信済み")))))))</x:f>
      </x:c>
      <x:c r="M45" s="29" t="str">
        <x:f>IF(B45="","",IF(K45="はい","送信しない",IF(J45="成約","対応完了",IF(J45="返信あり","返信対応",IF(J45="検討中","状況確認",IF(J45="不要","対応終了",IF(G45="","初回メール",IF(I45&lt;&gt;"","追客完了",IF(TODAY()&gt;=H45,"追客メール","待機")))))))))</x:f>
      </x:c>
    </x:row>
    <x:row r="46">
      <x:c r="A46" s="29" t="str">
        <x:f>IF(B46="","",ROW()-4)</x:f>
      </x:c>
      <x:c r="B46" s="30"/>
      <x:c r="C46" s="30"/>
      <x:c r="D46" s="33"/>
      <x:c r="E46" s="33"/>
      <x:c r="F46" s="33"/>
      <x:c r="G46" s="31"/>
      <x:c r="H46" s="32" t="str">
        <x:f>IF(G46="","",G46+'設定・使い方'!$B$4)</x:f>
      </x:c>
      <x:c r="I46" s="31"/>
      <x:c r="J46" s="30" t="str">
        <x:v>未返信</x:v>
      </x:c>
      <x:c r="K46" s="30" t="str">
        <x:v>いいえ</x:v>
      </x:c>
      <x:c r="L46" s="29" t="str">
        <x:f>IF(B46="","",IF(K46="はい","送信禁止",IF(J46="成約","成約",IF(OR(J46="返信あり",J46="検討中",J46="不要"),"返信あり",IF(G46="","未送信",IF(I46&lt;&gt;"","追客済み",IF(TODAY()&gt;=H46,"追客対象","初回送信済み")))))))</x:f>
      </x:c>
      <x:c r="M46" s="29" t="str">
        <x:f>IF(B46="","",IF(K46="はい","送信しない",IF(J46="成約","対応完了",IF(J46="返信あり","返信対応",IF(J46="検討中","状況確認",IF(J46="不要","対応終了",IF(G46="","初回メール",IF(I46&lt;&gt;"","追客完了",IF(TODAY()&gt;=H46,"追客メール","待機")))))))))</x:f>
      </x:c>
    </x:row>
    <x:row r="47">
      <x:c r="A47" s="29" t="str">
        <x:f>IF(B47="","",ROW()-4)</x:f>
      </x:c>
      <x:c r="B47" s="30"/>
      <x:c r="C47" s="30"/>
      <x:c r="D47" s="33"/>
      <x:c r="E47" s="33"/>
      <x:c r="F47" s="33"/>
      <x:c r="G47" s="31"/>
      <x:c r="H47" s="32" t="str">
        <x:f>IF(G47="","",G47+'設定・使い方'!$B$4)</x:f>
      </x:c>
      <x:c r="I47" s="31"/>
      <x:c r="J47" s="30" t="str">
        <x:v>未返信</x:v>
      </x:c>
      <x:c r="K47" s="30" t="str">
        <x:v>いいえ</x:v>
      </x:c>
      <x:c r="L47" s="29" t="str">
        <x:f>IF(B47="","",IF(K47="はい","送信禁止",IF(J47="成約","成約",IF(OR(J47="返信あり",J47="検討中",J47="不要"),"返信あり",IF(G47="","未送信",IF(I47&lt;&gt;"","追客済み",IF(TODAY()&gt;=H47,"追客対象","初回送信済み")))))))</x:f>
      </x:c>
      <x:c r="M47" s="29" t="str">
        <x:f>IF(B47="","",IF(K47="はい","送信しない",IF(J47="成約","対応完了",IF(J47="返信あり","返信対応",IF(J47="検討中","状況確認",IF(J47="不要","対応終了",IF(G47="","初回メール",IF(I47&lt;&gt;"","追客完了",IF(TODAY()&gt;=H47,"追客メール","待機")))))))))</x:f>
      </x:c>
    </x:row>
    <x:row r="48">
      <x:c r="A48" s="29" t="str">
        <x:f>IF(B48="","",ROW()-4)</x:f>
      </x:c>
      <x:c r="B48" s="30"/>
      <x:c r="C48" s="30"/>
      <x:c r="D48" s="33"/>
      <x:c r="E48" s="33"/>
      <x:c r="F48" s="33"/>
      <x:c r="G48" s="31"/>
      <x:c r="H48" s="32" t="str">
        <x:f>IF(G48="","",G48+'設定・使い方'!$B$4)</x:f>
      </x:c>
      <x:c r="I48" s="31"/>
      <x:c r="J48" s="30" t="str">
        <x:v>未返信</x:v>
      </x:c>
      <x:c r="K48" s="30" t="str">
        <x:v>いいえ</x:v>
      </x:c>
      <x:c r="L48" s="29" t="str">
        <x:f>IF(B48="","",IF(K48="はい","送信禁止",IF(J48="成約","成約",IF(OR(J48="返信あり",J48="検討中",J48="不要"),"返信あり",IF(G48="","未送信",IF(I48&lt;&gt;"","追客済み",IF(TODAY()&gt;=H48,"追客対象","初回送信済み")))))))</x:f>
      </x:c>
      <x:c r="M48" s="29" t="str">
        <x:f>IF(B48="","",IF(K48="はい","送信しない",IF(J48="成約","対応完了",IF(J48="返信あり","返信対応",IF(J48="検討中","状況確認",IF(J48="不要","対応終了",IF(G48="","初回メール",IF(I48&lt;&gt;"","追客完了",IF(TODAY()&gt;=H48,"追客メール","待機")))))))))</x:f>
      </x:c>
    </x:row>
    <x:row r="49">
      <x:c r="A49" s="29" t="str">
        <x:f>IF(B49="","",ROW()-4)</x:f>
      </x:c>
      <x:c r="B49" s="30"/>
      <x:c r="C49" s="30"/>
      <x:c r="D49" s="33"/>
      <x:c r="E49" s="33"/>
      <x:c r="F49" s="33"/>
      <x:c r="G49" s="31"/>
      <x:c r="H49" s="32" t="str">
        <x:f>IF(G49="","",G49+'設定・使い方'!$B$4)</x:f>
      </x:c>
      <x:c r="I49" s="31"/>
      <x:c r="J49" s="30" t="str">
        <x:v>未返信</x:v>
      </x:c>
      <x:c r="K49" s="30" t="str">
        <x:v>いいえ</x:v>
      </x:c>
      <x:c r="L49" s="29" t="str">
        <x:f>IF(B49="","",IF(K49="はい","送信禁止",IF(J49="成約","成約",IF(OR(J49="返信あり",J49="検討中",J49="不要"),"返信あり",IF(G49="","未送信",IF(I49&lt;&gt;"","追客済み",IF(TODAY()&gt;=H49,"追客対象","初回送信済み")))))))</x:f>
      </x:c>
      <x:c r="M49" s="29" t="str">
        <x:f>IF(B49="","",IF(K49="はい","送信しない",IF(J49="成約","対応完了",IF(J49="返信あり","返信対応",IF(J49="検討中","状況確認",IF(J49="不要","対応終了",IF(G49="","初回メール",IF(I49&lt;&gt;"","追客完了",IF(TODAY()&gt;=H49,"追客メール","待機")))))))))</x:f>
      </x:c>
    </x:row>
    <x:row r="50">
      <x:c r="A50" s="29" t="str">
        <x:f>IF(B50="","",ROW()-4)</x:f>
      </x:c>
      <x:c r="B50" s="30"/>
      <x:c r="C50" s="30"/>
      <x:c r="D50" s="33"/>
      <x:c r="E50" s="33"/>
      <x:c r="F50" s="33"/>
      <x:c r="G50" s="31"/>
      <x:c r="H50" s="32" t="str">
        <x:f>IF(G50="","",G50+'設定・使い方'!$B$4)</x:f>
      </x:c>
      <x:c r="I50" s="31"/>
      <x:c r="J50" s="30" t="str">
        <x:v>未返信</x:v>
      </x:c>
      <x:c r="K50" s="30" t="str">
        <x:v>いいえ</x:v>
      </x:c>
      <x:c r="L50" s="29" t="str">
        <x:f>IF(B50="","",IF(K50="はい","送信禁止",IF(J50="成約","成約",IF(OR(J50="返信あり",J50="検討中",J50="不要"),"返信あり",IF(G50="","未送信",IF(I50&lt;&gt;"","追客済み",IF(TODAY()&gt;=H50,"追客対象","初回送信済み")))))))</x:f>
      </x:c>
      <x:c r="M50" s="29" t="str">
        <x:f>IF(B50="","",IF(K50="はい","送信しない",IF(J50="成約","対応完了",IF(J50="返信あり","返信対応",IF(J50="検討中","状況確認",IF(J50="不要","対応終了",IF(G50="","初回メール",IF(I50&lt;&gt;"","追客完了",IF(TODAY()&gt;=H50,"追客メール","待機")))))))))</x:f>
      </x:c>
    </x:row>
    <x:row r="51">
      <x:c r="A51" s="29" t="str">
        <x:f>IF(B51="","",ROW()-4)</x:f>
      </x:c>
      <x:c r="B51" s="30"/>
      <x:c r="C51" s="30"/>
      <x:c r="D51" s="33"/>
      <x:c r="E51" s="33"/>
      <x:c r="F51" s="33"/>
      <x:c r="G51" s="31"/>
      <x:c r="H51" s="32" t="str">
        <x:f>IF(G51="","",G51+'設定・使い方'!$B$4)</x:f>
      </x:c>
      <x:c r="I51" s="31"/>
      <x:c r="J51" s="30" t="str">
        <x:v>未返信</x:v>
      </x:c>
      <x:c r="K51" s="30" t="str">
        <x:v>いいえ</x:v>
      </x:c>
      <x:c r="L51" s="29" t="str">
        <x:f>IF(B51="","",IF(K51="はい","送信禁止",IF(J51="成約","成約",IF(OR(J51="返信あり",J51="検討中",J51="不要"),"返信あり",IF(G51="","未送信",IF(I51&lt;&gt;"","追客済み",IF(TODAY()&gt;=H51,"追客対象","初回送信済み")))))))</x:f>
      </x:c>
      <x:c r="M51" s="29" t="str">
        <x:f>IF(B51="","",IF(K51="はい","送信しない",IF(J51="成約","対応完了",IF(J51="返信あり","返信対応",IF(J51="検討中","状況確認",IF(J51="不要","対応終了",IF(G51="","初回メール",IF(I51&lt;&gt;"","追客完了",IF(TODAY()&gt;=H51,"追客メール","待機")))))))))</x:f>
      </x:c>
    </x:row>
    <x:row r="52">
      <x:c r="A52" s="29" t="str">
        <x:f>IF(B52="","",ROW()-4)</x:f>
      </x:c>
      <x:c r="B52" s="30"/>
      <x:c r="C52" s="30"/>
      <x:c r="D52" s="33"/>
      <x:c r="E52" s="33"/>
      <x:c r="F52" s="33"/>
      <x:c r="G52" s="31"/>
      <x:c r="H52" s="32" t="str">
        <x:f>IF(G52="","",G52+'設定・使い方'!$B$4)</x:f>
      </x:c>
      <x:c r="I52" s="31"/>
      <x:c r="J52" s="30" t="str">
        <x:v>未返信</x:v>
      </x:c>
      <x:c r="K52" s="30" t="str">
        <x:v>いいえ</x:v>
      </x:c>
      <x:c r="L52" s="29" t="str">
        <x:f>IF(B52="","",IF(K52="はい","送信禁止",IF(J52="成約","成約",IF(OR(J52="返信あり",J52="検討中",J52="不要"),"返信あり",IF(G52="","未送信",IF(I52&lt;&gt;"","追客済み",IF(TODAY()&gt;=H52,"追客対象","初回送信済み")))))))</x:f>
      </x:c>
      <x:c r="M52" s="29" t="str">
        <x:f>IF(B52="","",IF(K52="はい","送信しない",IF(J52="成約","対応完了",IF(J52="返信あり","返信対応",IF(J52="検討中","状況確認",IF(J52="不要","対応終了",IF(G52="","初回メール",IF(I52&lt;&gt;"","追客完了",IF(TODAY()&gt;=H52,"追客メール","待機")))))))))</x:f>
      </x:c>
    </x:row>
    <x:row r="53">
      <x:c r="A53" s="29" t="str">
        <x:f>IF(B53="","",ROW()-4)</x:f>
      </x:c>
      <x:c r="B53" s="30"/>
      <x:c r="C53" s="30"/>
      <x:c r="D53" s="33"/>
      <x:c r="E53" s="33"/>
      <x:c r="F53" s="33"/>
      <x:c r="G53" s="31"/>
      <x:c r="H53" s="32" t="str">
        <x:f>IF(G53="","",G53+'設定・使い方'!$B$4)</x:f>
      </x:c>
      <x:c r="I53" s="31"/>
      <x:c r="J53" s="30" t="str">
        <x:v>未返信</x:v>
      </x:c>
      <x:c r="K53" s="30" t="str">
        <x:v>いいえ</x:v>
      </x:c>
      <x:c r="L53" s="29" t="str">
        <x:f>IF(B53="","",IF(K53="はい","送信禁止",IF(J53="成約","成約",IF(OR(J53="返信あり",J53="検討中",J53="不要"),"返信あり",IF(G53="","未送信",IF(I53&lt;&gt;"","追客済み",IF(TODAY()&gt;=H53,"追客対象","初回送信済み")))))))</x:f>
      </x:c>
      <x:c r="M53" s="29" t="str">
        <x:f>IF(B53="","",IF(K53="はい","送信しない",IF(J53="成約","対応完了",IF(J53="返信あり","返信対応",IF(J53="検討中","状況確認",IF(J53="不要","対応終了",IF(G53="","初回メール",IF(I53&lt;&gt;"","追客完了",IF(TODAY()&gt;=H53,"追客メール","待機")))))))))</x:f>
      </x:c>
    </x:row>
    <x:row r="54">
      <x:c r="A54" s="29" t="str">
        <x:f>IF(B54="","",ROW()-4)</x:f>
      </x:c>
      <x:c r="B54" s="30"/>
      <x:c r="C54" s="30"/>
      <x:c r="D54" s="33"/>
      <x:c r="E54" s="33"/>
      <x:c r="F54" s="33"/>
      <x:c r="G54" s="31"/>
      <x:c r="H54" s="32" t="str">
        <x:f>IF(G54="","",G54+'設定・使い方'!$B$4)</x:f>
      </x:c>
      <x:c r="I54" s="31"/>
      <x:c r="J54" s="30" t="str">
        <x:v>未返信</x:v>
      </x:c>
      <x:c r="K54" s="30" t="str">
        <x:v>いいえ</x:v>
      </x:c>
      <x:c r="L54" s="29" t="str">
        <x:f>IF(B54="","",IF(K54="はい","送信禁止",IF(J54="成約","成約",IF(OR(J54="返信あり",J54="検討中",J54="不要"),"返信あり",IF(G54="","未送信",IF(I54&lt;&gt;"","追客済み",IF(TODAY()&gt;=H54,"追客対象","初回送信済み")))))))</x:f>
      </x:c>
      <x:c r="M54" s="29" t="str">
        <x:f>IF(B54="","",IF(K54="はい","送信しない",IF(J54="成約","対応完了",IF(J54="返信あり","返信対応",IF(J54="検討中","状況確認",IF(J54="不要","対応終了",IF(G54="","初回メール",IF(I54&lt;&gt;"","追客完了",IF(TODAY()&gt;=H54,"追客メール","待機")))))))))</x:f>
      </x:c>
    </x:row>
    <x:row r="55">
      <x:c r="A55" s="29" t="str">
        <x:f>IF(B55="","",ROW()-4)</x:f>
      </x:c>
      <x:c r="B55" s="30"/>
      <x:c r="C55" s="30"/>
      <x:c r="D55" s="33"/>
      <x:c r="E55" s="33"/>
      <x:c r="F55" s="33"/>
      <x:c r="G55" s="31"/>
      <x:c r="H55" s="32" t="str">
        <x:f>IF(G55="","",G55+'設定・使い方'!$B$4)</x:f>
      </x:c>
      <x:c r="I55" s="31"/>
      <x:c r="J55" s="30" t="str">
        <x:v>未返信</x:v>
      </x:c>
      <x:c r="K55" s="30" t="str">
        <x:v>いいえ</x:v>
      </x:c>
      <x:c r="L55" s="29" t="str">
        <x:f>IF(B55="","",IF(K55="はい","送信禁止",IF(J55="成約","成約",IF(OR(J55="返信あり",J55="検討中",J55="不要"),"返信あり",IF(G55="","未送信",IF(I55&lt;&gt;"","追客済み",IF(TODAY()&gt;=H55,"追客対象","初回送信済み")))))))</x:f>
      </x:c>
      <x:c r="M55" s="29" t="str">
        <x:f>IF(B55="","",IF(K55="はい","送信しない",IF(J55="成約","対応完了",IF(J55="返信あり","返信対応",IF(J55="検討中","状況確認",IF(J55="不要","対応終了",IF(G55="","初回メール",IF(I55&lt;&gt;"","追客完了",IF(TODAY()&gt;=H55,"追客メール","待機")))))))))</x:f>
      </x:c>
    </x:row>
    <x:row r="56">
      <x:c r="A56" s="29" t="str">
        <x:f>IF(B56="","",ROW()-4)</x:f>
      </x:c>
      <x:c r="B56" s="30"/>
      <x:c r="C56" s="30"/>
      <x:c r="D56" s="33"/>
      <x:c r="E56" s="33"/>
      <x:c r="F56" s="33"/>
      <x:c r="G56" s="31"/>
      <x:c r="H56" s="32" t="str">
        <x:f>IF(G56="","",G56+'設定・使い方'!$B$4)</x:f>
      </x:c>
      <x:c r="I56" s="31"/>
      <x:c r="J56" s="30" t="str">
        <x:v>未返信</x:v>
      </x:c>
      <x:c r="K56" s="30" t="str">
        <x:v>いいえ</x:v>
      </x:c>
      <x:c r="L56" s="29" t="str">
        <x:f>IF(B56="","",IF(K56="はい","送信禁止",IF(J56="成約","成約",IF(OR(J56="返信あり",J56="検討中",J56="不要"),"返信あり",IF(G56="","未送信",IF(I56&lt;&gt;"","追客済み",IF(TODAY()&gt;=H56,"追客対象","初回送信済み")))))))</x:f>
      </x:c>
      <x:c r="M56" s="29" t="str">
        <x:f>IF(B56="","",IF(K56="はい","送信しない",IF(J56="成約","対応完了",IF(J56="返信あり","返信対応",IF(J56="検討中","状況確認",IF(J56="不要","対応終了",IF(G56="","初回メール",IF(I56&lt;&gt;"","追客完了",IF(TODAY()&gt;=H56,"追客メール","待機")))))))))</x:f>
      </x:c>
    </x:row>
    <x:row r="57">
      <x:c r="A57" s="29" t="str">
        <x:f>IF(B57="","",ROW()-4)</x:f>
      </x:c>
      <x:c r="B57" s="30"/>
      <x:c r="C57" s="30"/>
      <x:c r="D57" s="33"/>
      <x:c r="E57" s="33"/>
      <x:c r="F57" s="33"/>
      <x:c r="G57" s="31"/>
      <x:c r="H57" s="32" t="str">
        <x:f>IF(G57="","",G57+'設定・使い方'!$B$4)</x:f>
      </x:c>
      <x:c r="I57" s="31"/>
      <x:c r="J57" s="30" t="str">
        <x:v>未返信</x:v>
      </x:c>
      <x:c r="K57" s="30" t="str">
        <x:v>いいえ</x:v>
      </x:c>
      <x:c r="L57" s="29" t="str">
        <x:f>IF(B57="","",IF(K57="はい","送信禁止",IF(J57="成約","成約",IF(OR(J57="返信あり",J57="検討中",J57="不要"),"返信あり",IF(G57="","未送信",IF(I57&lt;&gt;"","追客済み",IF(TODAY()&gt;=H57,"追客対象","初回送信済み")))))))</x:f>
      </x:c>
      <x:c r="M57" s="29" t="str">
        <x:f>IF(B57="","",IF(K57="はい","送信しない",IF(J57="成約","対応完了",IF(J57="返信あり","返信対応",IF(J57="検討中","状況確認",IF(J57="不要","対応終了",IF(G57="","初回メール",IF(I57&lt;&gt;"","追客完了",IF(TODAY()&gt;=H57,"追客メール","待機")))))))))</x:f>
      </x:c>
    </x:row>
    <x:row r="58">
      <x:c r="A58" s="29" t="str">
        <x:f>IF(B58="","",ROW()-4)</x:f>
      </x:c>
      <x:c r="B58" s="30"/>
      <x:c r="C58" s="30"/>
      <x:c r="D58" s="33"/>
      <x:c r="E58" s="33"/>
      <x:c r="F58" s="33"/>
      <x:c r="G58" s="31"/>
      <x:c r="H58" s="32" t="str">
        <x:f>IF(G58="","",G58+'設定・使い方'!$B$4)</x:f>
      </x:c>
      <x:c r="I58" s="31"/>
      <x:c r="J58" s="30" t="str">
        <x:v>未返信</x:v>
      </x:c>
      <x:c r="K58" s="30" t="str">
        <x:v>いいえ</x:v>
      </x:c>
      <x:c r="L58" s="29" t="str">
        <x:f>IF(B58="","",IF(K58="はい","送信禁止",IF(J58="成約","成約",IF(OR(J58="返信あり",J58="検討中",J58="不要"),"返信あり",IF(G58="","未送信",IF(I58&lt;&gt;"","追客済み",IF(TODAY()&gt;=H58,"追客対象","初回送信済み")))))))</x:f>
      </x:c>
      <x:c r="M58" s="29" t="str">
        <x:f>IF(B58="","",IF(K58="はい","送信しない",IF(J58="成約","対応完了",IF(J58="返信あり","返信対応",IF(J58="検討中","状況確認",IF(J58="不要","対応終了",IF(G58="","初回メール",IF(I58&lt;&gt;"","追客完了",IF(TODAY()&gt;=H58,"追客メール","待機")))))))))</x:f>
      </x:c>
    </x:row>
    <x:row r="59">
      <x:c r="A59" s="29" t="str">
        <x:f>IF(B59="","",ROW()-4)</x:f>
      </x:c>
      <x:c r="B59" s="30"/>
      <x:c r="C59" s="30"/>
      <x:c r="D59" s="33"/>
      <x:c r="E59" s="33"/>
      <x:c r="F59" s="33"/>
      <x:c r="G59" s="31"/>
      <x:c r="H59" s="32" t="str">
        <x:f>IF(G59="","",G59+'設定・使い方'!$B$4)</x:f>
      </x:c>
      <x:c r="I59" s="31"/>
      <x:c r="J59" s="30" t="str">
        <x:v>未返信</x:v>
      </x:c>
      <x:c r="K59" s="30" t="str">
        <x:v>いいえ</x:v>
      </x:c>
      <x:c r="L59" s="29" t="str">
        <x:f>IF(B59="","",IF(K59="はい","送信禁止",IF(J59="成約","成約",IF(OR(J59="返信あり",J59="検討中",J59="不要"),"返信あり",IF(G59="","未送信",IF(I59&lt;&gt;"","追客済み",IF(TODAY()&gt;=H59,"追客対象","初回送信済み")))))))</x:f>
      </x:c>
      <x:c r="M59" s="29" t="str">
        <x:f>IF(B59="","",IF(K59="はい","送信しない",IF(J59="成約","対応完了",IF(J59="返信あり","返信対応",IF(J59="検討中","状況確認",IF(J59="不要","対応終了",IF(G59="","初回メール",IF(I59&lt;&gt;"","追客完了",IF(TODAY()&gt;=H59,"追客メール","待機")))))))))</x:f>
      </x:c>
    </x:row>
    <x:row r="60">
      <x:c r="A60" s="29" t="str">
        <x:f>IF(B60="","",ROW()-4)</x:f>
      </x:c>
      <x:c r="B60" s="30"/>
      <x:c r="C60" s="30"/>
      <x:c r="D60" s="33"/>
      <x:c r="E60" s="33"/>
      <x:c r="F60" s="33"/>
      <x:c r="G60" s="31"/>
      <x:c r="H60" s="32" t="str">
        <x:f>IF(G60="","",G60+'設定・使い方'!$B$4)</x:f>
      </x:c>
      <x:c r="I60" s="31"/>
      <x:c r="J60" s="30" t="str">
        <x:v>未返信</x:v>
      </x:c>
      <x:c r="K60" s="30" t="str">
        <x:v>いいえ</x:v>
      </x:c>
      <x:c r="L60" s="29" t="str">
        <x:f>IF(B60="","",IF(K60="はい","送信禁止",IF(J60="成約","成約",IF(OR(J60="返信あり",J60="検討中",J60="不要"),"返信あり",IF(G60="","未送信",IF(I60&lt;&gt;"","追客済み",IF(TODAY()&gt;=H60,"追客対象","初回送信済み")))))))</x:f>
      </x:c>
      <x:c r="M60" s="29" t="str">
        <x:f>IF(B60="","",IF(K60="はい","送信しない",IF(J60="成約","対応完了",IF(J60="返信あり","返信対応",IF(J60="検討中","状況確認",IF(J60="不要","対応終了",IF(G60="","初回メール",IF(I60&lt;&gt;"","追客完了",IF(TODAY()&gt;=H60,"追客メール","待機")))))))))</x:f>
      </x:c>
    </x:row>
    <x:row r="61">
      <x:c r="A61" s="29" t="str">
        <x:f>IF(B61="","",ROW()-4)</x:f>
      </x:c>
      <x:c r="B61" s="30"/>
      <x:c r="C61" s="30"/>
      <x:c r="D61" s="33"/>
      <x:c r="E61" s="33"/>
      <x:c r="F61" s="33"/>
      <x:c r="G61" s="31"/>
      <x:c r="H61" s="32" t="str">
        <x:f>IF(G61="","",G61+'設定・使い方'!$B$4)</x:f>
      </x:c>
      <x:c r="I61" s="31"/>
      <x:c r="J61" s="30" t="str">
        <x:v>未返信</x:v>
      </x:c>
      <x:c r="K61" s="30" t="str">
        <x:v>いいえ</x:v>
      </x:c>
      <x:c r="L61" s="29" t="str">
        <x:f>IF(B61="","",IF(K61="はい","送信禁止",IF(J61="成約","成約",IF(OR(J61="返信あり",J61="検討中",J61="不要"),"返信あり",IF(G61="","未送信",IF(I61&lt;&gt;"","追客済み",IF(TODAY()&gt;=H61,"追客対象","初回送信済み")))))))</x:f>
      </x:c>
      <x:c r="M61" s="29" t="str">
        <x:f>IF(B61="","",IF(K61="はい","送信しない",IF(J61="成約","対応完了",IF(J61="返信あり","返信対応",IF(J61="検討中","状況確認",IF(J61="不要","対応終了",IF(G61="","初回メール",IF(I61&lt;&gt;"","追客完了",IF(TODAY()&gt;=H61,"追客メール","待機")))))))))</x:f>
      </x:c>
    </x:row>
    <x:row r="62">
      <x:c r="A62" s="29" t="str">
        <x:f>IF(B62="","",ROW()-4)</x:f>
      </x:c>
      <x:c r="B62" s="30"/>
      <x:c r="C62" s="30"/>
      <x:c r="D62" s="33"/>
      <x:c r="E62" s="33"/>
      <x:c r="F62" s="33"/>
      <x:c r="G62" s="31"/>
      <x:c r="H62" s="32" t="str">
        <x:f>IF(G62="","",G62+'設定・使い方'!$B$4)</x:f>
      </x:c>
      <x:c r="I62" s="31"/>
      <x:c r="J62" s="30" t="str">
        <x:v>未返信</x:v>
      </x:c>
      <x:c r="K62" s="30" t="str">
        <x:v>いいえ</x:v>
      </x:c>
      <x:c r="L62" s="29" t="str">
        <x:f>IF(B62="","",IF(K62="はい","送信禁止",IF(J62="成約","成約",IF(OR(J62="返信あり",J62="検討中",J62="不要"),"返信あり",IF(G62="","未送信",IF(I62&lt;&gt;"","追客済み",IF(TODAY()&gt;=H62,"追客対象","初回送信済み")))))))</x:f>
      </x:c>
      <x:c r="M62" s="29" t="str">
        <x:f>IF(B62="","",IF(K62="はい","送信しない",IF(J62="成約","対応完了",IF(J62="返信あり","返信対応",IF(J62="検討中","状況確認",IF(J62="不要","対応終了",IF(G62="","初回メール",IF(I62&lt;&gt;"","追客完了",IF(TODAY()&gt;=H62,"追客メール","待機")))))))))</x:f>
      </x:c>
    </x:row>
    <x:row r="63">
      <x:c r="A63" s="29" t="str">
        <x:f>IF(B63="","",ROW()-4)</x:f>
      </x:c>
      <x:c r="B63" s="30"/>
      <x:c r="C63" s="30"/>
      <x:c r="D63" s="33"/>
      <x:c r="E63" s="33"/>
      <x:c r="F63" s="33"/>
      <x:c r="G63" s="31"/>
      <x:c r="H63" s="32" t="str">
        <x:f>IF(G63="","",G63+'設定・使い方'!$B$4)</x:f>
      </x:c>
      <x:c r="I63" s="31"/>
      <x:c r="J63" s="30" t="str">
        <x:v>未返信</x:v>
      </x:c>
      <x:c r="K63" s="30" t="str">
        <x:v>いいえ</x:v>
      </x:c>
      <x:c r="L63" s="29" t="str">
        <x:f>IF(B63="","",IF(K63="はい","送信禁止",IF(J63="成約","成約",IF(OR(J63="返信あり",J63="検討中",J63="不要"),"返信あり",IF(G63="","未送信",IF(I63&lt;&gt;"","追客済み",IF(TODAY()&gt;=H63,"追客対象","初回送信済み")))))))</x:f>
      </x:c>
      <x:c r="M63" s="29" t="str">
        <x:f>IF(B63="","",IF(K63="はい","送信しない",IF(J63="成約","対応完了",IF(J63="返信あり","返信対応",IF(J63="検討中","状況確認",IF(J63="不要","対応終了",IF(G63="","初回メール",IF(I63&lt;&gt;"","追客完了",IF(TODAY()&gt;=H63,"追客メール","待機")))))))))</x:f>
      </x:c>
    </x:row>
    <x:row r="64">
      <x:c r="A64" s="29" t="str">
        <x:f>IF(B64="","",ROW()-4)</x:f>
      </x:c>
      <x:c r="B64" s="30"/>
      <x:c r="C64" s="30"/>
      <x:c r="D64" s="33"/>
      <x:c r="E64" s="33"/>
      <x:c r="F64" s="33"/>
      <x:c r="G64" s="31"/>
      <x:c r="H64" s="32" t="str">
        <x:f>IF(G64="","",G64+'設定・使い方'!$B$4)</x:f>
      </x:c>
      <x:c r="I64" s="31"/>
      <x:c r="J64" s="30" t="str">
        <x:v>未返信</x:v>
      </x:c>
      <x:c r="K64" s="30" t="str">
        <x:v>いいえ</x:v>
      </x:c>
      <x:c r="L64" s="29" t="str">
        <x:f>IF(B64="","",IF(K64="はい","送信禁止",IF(J64="成約","成約",IF(OR(J64="返信あり",J64="検討中",J64="不要"),"返信あり",IF(G64="","未送信",IF(I64&lt;&gt;"","追客済み",IF(TODAY()&gt;=H64,"追客対象","初回送信済み")))))))</x:f>
      </x:c>
      <x:c r="M64" s="29" t="str">
        <x:f>IF(B64="","",IF(K64="はい","送信しない",IF(J64="成約","対応完了",IF(J64="返信あり","返信対応",IF(J64="検討中","状況確認",IF(J64="不要","対応終了",IF(G64="","初回メール",IF(I64&lt;&gt;"","追客完了",IF(TODAY()&gt;=H64,"追客メール","待機")))))))))</x:f>
      </x:c>
    </x:row>
    <x:row r="65">
      <x:c r="A65" s="29" t="str">
        <x:f>IF(B65="","",ROW()-4)</x:f>
      </x:c>
      <x:c r="B65" s="30"/>
      <x:c r="C65" s="30"/>
      <x:c r="D65" s="33"/>
      <x:c r="E65" s="33"/>
      <x:c r="F65" s="33"/>
      <x:c r="G65" s="31"/>
      <x:c r="H65" s="32" t="str">
        <x:f>IF(G65="","",G65+'設定・使い方'!$B$4)</x:f>
      </x:c>
      <x:c r="I65" s="31"/>
      <x:c r="J65" s="30" t="str">
        <x:v>未返信</x:v>
      </x:c>
      <x:c r="K65" s="30" t="str">
        <x:v>いいえ</x:v>
      </x:c>
      <x:c r="L65" s="29" t="str">
        <x:f>IF(B65="","",IF(K65="はい","送信禁止",IF(J65="成約","成約",IF(OR(J65="返信あり",J65="検討中",J65="不要"),"返信あり",IF(G65="","未送信",IF(I65&lt;&gt;"","追客済み",IF(TODAY()&gt;=H65,"追客対象","初回送信済み")))))))</x:f>
      </x:c>
      <x:c r="M65" s="29" t="str">
        <x:f>IF(B65="","",IF(K65="はい","送信しない",IF(J65="成約","対応完了",IF(J65="返信あり","返信対応",IF(J65="検討中","状況確認",IF(J65="不要","対応終了",IF(G65="","初回メール",IF(I65&lt;&gt;"","追客完了",IF(TODAY()&gt;=H65,"追客メール","待機")))))))))</x:f>
      </x:c>
    </x:row>
    <x:row r="66">
      <x:c r="A66" s="29" t="str">
        <x:f>IF(B66="","",ROW()-4)</x:f>
      </x:c>
      <x:c r="B66" s="30"/>
      <x:c r="C66" s="30"/>
      <x:c r="D66" s="33"/>
      <x:c r="E66" s="33"/>
      <x:c r="F66" s="33"/>
      <x:c r="G66" s="31"/>
      <x:c r="H66" s="32" t="str">
        <x:f>IF(G66="","",G66+'設定・使い方'!$B$4)</x:f>
      </x:c>
      <x:c r="I66" s="31"/>
      <x:c r="J66" s="30" t="str">
        <x:v>未返信</x:v>
      </x:c>
      <x:c r="K66" s="30" t="str">
        <x:v>いいえ</x:v>
      </x:c>
      <x:c r="L66" s="29" t="str">
        <x:f>IF(B66="","",IF(K66="はい","送信禁止",IF(J66="成約","成約",IF(OR(J66="返信あり",J66="検討中",J66="不要"),"返信あり",IF(G66="","未送信",IF(I66&lt;&gt;"","追客済み",IF(TODAY()&gt;=H66,"追客対象","初回送信済み")))))))</x:f>
      </x:c>
      <x:c r="M66" s="29" t="str">
        <x:f>IF(B66="","",IF(K66="はい","送信しない",IF(J66="成約","対応完了",IF(J66="返信あり","返信対応",IF(J66="検討中","状況確認",IF(J66="不要","対応終了",IF(G66="","初回メール",IF(I66&lt;&gt;"","追客完了",IF(TODAY()&gt;=H66,"追客メール","待機")))))))))</x:f>
      </x:c>
    </x:row>
    <x:row r="67">
      <x:c r="A67" s="29" t="str">
        <x:f>IF(B67="","",ROW()-4)</x:f>
      </x:c>
      <x:c r="B67" s="30"/>
      <x:c r="C67" s="30"/>
      <x:c r="D67" s="33"/>
      <x:c r="E67" s="33"/>
      <x:c r="F67" s="33"/>
      <x:c r="G67" s="31"/>
      <x:c r="H67" s="32" t="str">
        <x:f>IF(G67="","",G67+'設定・使い方'!$B$4)</x:f>
      </x:c>
      <x:c r="I67" s="31"/>
      <x:c r="J67" s="30" t="str">
        <x:v>未返信</x:v>
      </x:c>
      <x:c r="K67" s="30" t="str">
        <x:v>いいえ</x:v>
      </x:c>
      <x:c r="L67" s="29" t="str">
        <x:f>IF(B67="","",IF(K67="はい","送信禁止",IF(J67="成約","成約",IF(OR(J67="返信あり",J67="検討中",J67="不要"),"返信あり",IF(G67="","未送信",IF(I67&lt;&gt;"","追客済み",IF(TODAY()&gt;=H67,"追客対象","初回送信済み")))))))</x:f>
      </x:c>
      <x:c r="M67" s="29" t="str">
        <x:f>IF(B67="","",IF(K67="はい","送信しない",IF(J67="成約","対応完了",IF(J67="返信あり","返信対応",IF(J67="検討中","状況確認",IF(J67="不要","対応終了",IF(G67="","初回メール",IF(I67&lt;&gt;"","追客完了",IF(TODAY()&gt;=H67,"追客メール","待機")))))))))</x:f>
      </x:c>
    </x:row>
    <x:row r="68">
      <x:c r="A68" s="29" t="str">
        <x:f>IF(B68="","",ROW()-4)</x:f>
      </x:c>
      <x:c r="B68" s="30"/>
      <x:c r="C68" s="30"/>
      <x:c r="D68" s="33"/>
      <x:c r="E68" s="33"/>
      <x:c r="F68" s="33"/>
      <x:c r="G68" s="31"/>
      <x:c r="H68" s="32" t="str">
        <x:f>IF(G68="","",G68+'設定・使い方'!$B$4)</x:f>
      </x:c>
      <x:c r="I68" s="31"/>
      <x:c r="J68" s="30" t="str">
        <x:v>未返信</x:v>
      </x:c>
      <x:c r="K68" s="30" t="str">
        <x:v>いいえ</x:v>
      </x:c>
      <x:c r="L68" s="29" t="str">
        <x:f>IF(B68="","",IF(K68="はい","送信禁止",IF(J68="成約","成約",IF(OR(J68="返信あり",J68="検討中",J68="不要"),"返信あり",IF(G68="","未送信",IF(I68&lt;&gt;"","追客済み",IF(TODAY()&gt;=H68,"追客対象","初回送信済み")))))))</x:f>
      </x:c>
      <x:c r="M68" s="29" t="str">
        <x:f>IF(B68="","",IF(K68="はい","送信しない",IF(J68="成約","対応完了",IF(J68="返信あり","返信対応",IF(J68="検討中","状況確認",IF(J68="不要","対応終了",IF(G68="","初回メール",IF(I68&lt;&gt;"","追客完了",IF(TODAY()&gt;=H68,"追客メール","待機")))))))))</x:f>
      </x:c>
    </x:row>
    <x:row r="69">
      <x:c r="A69" s="29" t="str">
        <x:f>IF(B69="","",ROW()-4)</x:f>
      </x:c>
      <x:c r="B69" s="30"/>
      <x:c r="C69" s="30"/>
      <x:c r="D69" s="33"/>
      <x:c r="E69" s="33"/>
      <x:c r="F69" s="33"/>
      <x:c r="G69" s="31"/>
      <x:c r="H69" s="32" t="str">
        <x:f>IF(G69="","",G69+'設定・使い方'!$B$4)</x:f>
      </x:c>
      <x:c r="I69" s="31"/>
      <x:c r="J69" s="30" t="str">
        <x:v>未返信</x:v>
      </x:c>
      <x:c r="K69" s="30" t="str">
        <x:v>いいえ</x:v>
      </x:c>
      <x:c r="L69" s="29" t="str">
        <x:f>IF(B69="","",IF(K69="はい","送信禁止",IF(J69="成約","成約",IF(OR(J69="返信あり",J69="検討中",J69="不要"),"返信あり",IF(G69="","未送信",IF(I69&lt;&gt;"","追客済み",IF(TODAY()&gt;=H69,"追客対象","初回送信済み")))))))</x:f>
      </x:c>
      <x:c r="M69" s="29" t="str">
        <x:f>IF(B69="","",IF(K69="はい","送信しない",IF(J69="成約","対応完了",IF(J69="返信あり","返信対応",IF(J69="検討中","状況確認",IF(J69="不要","対応終了",IF(G69="","初回メール",IF(I69&lt;&gt;"","追客完了",IF(TODAY()&gt;=H69,"追客メール","待機")))))))))</x:f>
      </x:c>
    </x:row>
    <x:row r="70">
      <x:c r="A70" s="29" t="str">
        <x:f>IF(B70="","",ROW()-4)</x:f>
      </x:c>
      <x:c r="B70" s="30"/>
      <x:c r="C70" s="30"/>
      <x:c r="D70" s="33"/>
      <x:c r="E70" s="33"/>
      <x:c r="F70" s="33"/>
      <x:c r="G70" s="31"/>
      <x:c r="H70" s="32" t="str">
        <x:f>IF(G70="","",G70+'設定・使い方'!$B$4)</x:f>
      </x:c>
      <x:c r="I70" s="31"/>
      <x:c r="J70" s="30" t="str">
        <x:v>未返信</x:v>
      </x:c>
      <x:c r="K70" s="30" t="str">
        <x:v>いいえ</x:v>
      </x:c>
      <x:c r="L70" s="29" t="str">
        <x:f>IF(B70="","",IF(K70="はい","送信禁止",IF(J70="成約","成約",IF(OR(J70="返信あり",J70="検討中",J70="不要"),"返信あり",IF(G70="","未送信",IF(I70&lt;&gt;"","追客済み",IF(TODAY()&gt;=H70,"追客対象","初回送信済み")))))))</x:f>
      </x:c>
      <x:c r="M70" s="29" t="str">
        <x:f>IF(B70="","",IF(K70="はい","送信しない",IF(J70="成約","対応完了",IF(J70="返信あり","返信対応",IF(J70="検討中","状況確認",IF(J70="不要","対応終了",IF(G70="","初回メール",IF(I70&lt;&gt;"","追客完了",IF(TODAY()&gt;=H70,"追客メール","待機")))))))))</x:f>
      </x:c>
    </x:row>
    <x:row r="71">
      <x:c r="A71" s="29" t="str">
        <x:f>IF(B71="","",ROW()-4)</x:f>
      </x:c>
      <x:c r="B71" s="30"/>
      <x:c r="C71" s="30"/>
      <x:c r="D71" s="33"/>
      <x:c r="E71" s="33"/>
      <x:c r="F71" s="33"/>
      <x:c r="G71" s="31"/>
      <x:c r="H71" s="32" t="str">
        <x:f>IF(G71="","",G71+'設定・使い方'!$B$4)</x:f>
      </x:c>
      <x:c r="I71" s="31"/>
      <x:c r="J71" s="30" t="str">
        <x:v>未返信</x:v>
      </x:c>
      <x:c r="K71" s="30" t="str">
        <x:v>いいえ</x:v>
      </x:c>
      <x:c r="L71" s="29" t="str">
        <x:f>IF(B71="","",IF(K71="はい","送信禁止",IF(J71="成約","成約",IF(OR(J71="返信あり",J71="検討中",J71="不要"),"返信あり",IF(G71="","未送信",IF(I71&lt;&gt;"","追客済み",IF(TODAY()&gt;=H71,"追客対象","初回送信済み")))))))</x:f>
      </x:c>
      <x:c r="M71" s="29" t="str">
        <x:f>IF(B71="","",IF(K71="はい","送信しない",IF(J71="成約","対応完了",IF(J71="返信あり","返信対応",IF(J71="検討中","状況確認",IF(J71="不要","対応終了",IF(G71="","初回メール",IF(I71&lt;&gt;"","追客完了",IF(TODAY()&gt;=H71,"追客メール","待機")))))))))</x:f>
      </x:c>
    </x:row>
    <x:row r="72">
      <x:c r="A72" s="29" t="str">
        <x:f>IF(B72="","",ROW()-4)</x:f>
      </x:c>
      <x:c r="B72" s="30"/>
      <x:c r="C72" s="30"/>
      <x:c r="D72" s="33"/>
      <x:c r="E72" s="33"/>
      <x:c r="F72" s="33"/>
      <x:c r="G72" s="31"/>
      <x:c r="H72" s="32" t="str">
        <x:f>IF(G72="","",G72+'設定・使い方'!$B$4)</x:f>
      </x:c>
      <x:c r="I72" s="31"/>
      <x:c r="J72" s="30" t="str">
        <x:v>未返信</x:v>
      </x:c>
      <x:c r="K72" s="30" t="str">
        <x:v>いいえ</x:v>
      </x:c>
      <x:c r="L72" s="29" t="str">
        <x:f>IF(B72="","",IF(K72="はい","送信禁止",IF(J72="成約","成約",IF(OR(J72="返信あり",J72="検討中",J72="不要"),"返信あり",IF(G72="","未送信",IF(I72&lt;&gt;"","追客済み",IF(TODAY()&gt;=H72,"追客対象","初回送信済み")))))))</x:f>
      </x:c>
      <x:c r="M72" s="29" t="str">
        <x:f>IF(B72="","",IF(K72="はい","送信しない",IF(J72="成約","対応完了",IF(J72="返信あり","返信対応",IF(J72="検討中","状況確認",IF(J72="不要","対応終了",IF(G72="","初回メール",IF(I72&lt;&gt;"","追客完了",IF(TODAY()&gt;=H72,"追客メール","待機")))))))))</x:f>
      </x:c>
    </x:row>
    <x:row r="73">
      <x:c r="A73" s="29" t="str">
        <x:f>IF(B73="","",ROW()-4)</x:f>
      </x:c>
      <x:c r="B73" s="30"/>
      <x:c r="C73" s="30"/>
      <x:c r="D73" s="33"/>
      <x:c r="E73" s="33"/>
      <x:c r="F73" s="33"/>
      <x:c r="G73" s="31"/>
      <x:c r="H73" s="32" t="str">
        <x:f>IF(G73="","",G73+'設定・使い方'!$B$4)</x:f>
      </x:c>
      <x:c r="I73" s="31"/>
      <x:c r="J73" s="30" t="str">
        <x:v>未返信</x:v>
      </x:c>
      <x:c r="K73" s="30" t="str">
        <x:v>いいえ</x:v>
      </x:c>
      <x:c r="L73" s="29" t="str">
        <x:f>IF(B73="","",IF(K73="はい","送信禁止",IF(J73="成約","成約",IF(OR(J73="返信あり",J73="検討中",J73="不要"),"返信あり",IF(G73="","未送信",IF(I73&lt;&gt;"","追客済み",IF(TODAY()&gt;=H73,"追客対象","初回送信済み")))))))</x:f>
      </x:c>
      <x:c r="M73" s="29" t="str">
        <x:f>IF(B73="","",IF(K73="はい","送信しない",IF(J73="成約","対応完了",IF(J73="返信あり","返信対応",IF(J73="検討中","状況確認",IF(J73="不要","対応終了",IF(G73="","初回メール",IF(I73&lt;&gt;"","追客完了",IF(TODAY()&gt;=H73,"追客メール","待機")))))))))</x:f>
      </x:c>
    </x:row>
    <x:row r="74">
      <x:c r="A74" s="29" t="str">
        <x:f>IF(B74="","",ROW()-4)</x:f>
      </x:c>
      <x:c r="B74" s="30"/>
      <x:c r="C74" s="30"/>
      <x:c r="D74" s="33"/>
      <x:c r="E74" s="33"/>
      <x:c r="F74" s="33"/>
      <x:c r="G74" s="31"/>
      <x:c r="H74" s="32" t="str">
        <x:f>IF(G74="","",G74+'設定・使い方'!$B$4)</x:f>
      </x:c>
      <x:c r="I74" s="31"/>
      <x:c r="J74" s="30" t="str">
        <x:v>未返信</x:v>
      </x:c>
      <x:c r="K74" s="30" t="str">
        <x:v>いいえ</x:v>
      </x:c>
      <x:c r="L74" s="29" t="str">
        <x:f>IF(B74="","",IF(K74="はい","送信禁止",IF(J74="成約","成約",IF(OR(J74="返信あり",J74="検討中",J74="不要"),"返信あり",IF(G74="","未送信",IF(I74&lt;&gt;"","追客済み",IF(TODAY()&gt;=H74,"追客対象","初回送信済み")))))))</x:f>
      </x:c>
      <x:c r="M74" s="29" t="str">
        <x:f>IF(B74="","",IF(K74="はい","送信しない",IF(J74="成約","対応完了",IF(J74="返信あり","返信対応",IF(J74="検討中","状況確認",IF(J74="不要","対応終了",IF(G74="","初回メール",IF(I74&lt;&gt;"","追客完了",IF(TODAY()&gt;=H74,"追客メール","待機")))))))))</x:f>
      </x:c>
    </x:row>
    <x:row r="75">
      <x:c r="A75" s="29" t="str">
        <x:f>IF(B75="","",ROW()-4)</x:f>
      </x:c>
      <x:c r="B75" s="30"/>
      <x:c r="C75" s="30"/>
      <x:c r="D75" s="33"/>
      <x:c r="E75" s="33"/>
      <x:c r="F75" s="33"/>
      <x:c r="G75" s="31"/>
      <x:c r="H75" s="32" t="str">
        <x:f>IF(G75="","",G75+'設定・使い方'!$B$4)</x:f>
      </x:c>
      <x:c r="I75" s="31"/>
      <x:c r="J75" s="30" t="str">
        <x:v>未返信</x:v>
      </x:c>
      <x:c r="K75" s="30" t="str">
        <x:v>いいえ</x:v>
      </x:c>
      <x:c r="L75" s="29" t="str">
        <x:f>IF(B75="","",IF(K75="はい","送信禁止",IF(J75="成約","成約",IF(OR(J75="返信あり",J75="検討中",J75="不要"),"返信あり",IF(G75="","未送信",IF(I75&lt;&gt;"","追客済み",IF(TODAY()&gt;=H75,"追客対象","初回送信済み")))))))</x:f>
      </x:c>
      <x:c r="M75" s="29" t="str">
        <x:f>IF(B75="","",IF(K75="はい","送信しない",IF(J75="成約","対応完了",IF(J75="返信あり","返信対応",IF(J75="検討中","状況確認",IF(J75="不要","対応終了",IF(G75="","初回メール",IF(I75&lt;&gt;"","追客完了",IF(TODAY()&gt;=H75,"追客メール","待機")))))))))</x:f>
      </x:c>
    </x:row>
    <x:row r="76">
      <x:c r="A76" s="29" t="str">
        <x:f>IF(B76="","",ROW()-4)</x:f>
      </x:c>
      <x:c r="B76" s="30"/>
      <x:c r="C76" s="30"/>
      <x:c r="D76" s="33"/>
      <x:c r="E76" s="33"/>
      <x:c r="F76" s="33"/>
      <x:c r="G76" s="31"/>
      <x:c r="H76" s="32" t="str">
        <x:f>IF(G76="","",G76+'設定・使い方'!$B$4)</x:f>
      </x:c>
      <x:c r="I76" s="31"/>
      <x:c r="J76" s="30" t="str">
        <x:v>未返信</x:v>
      </x:c>
      <x:c r="K76" s="30" t="str">
        <x:v>いいえ</x:v>
      </x:c>
      <x:c r="L76" s="29" t="str">
        <x:f>IF(B76="","",IF(K76="はい","送信禁止",IF(J76="成約","成約",IF(OR(J76="返信あり",J76="検討中",J76="不要"),"返信あり",IF(G76="","未送信",IF(I76&lt;&gt;"","追客済み",IF(TODAY()&gt;=H76,"追客対象","初回送信済み")))))))</x:f>
      </x:c>
      <x:c r="M76" s="29" t="str">
        <x:f>IF(B76="","",IF(K76="はい","送信しない",IF(J76="成約","対応完了",IF(J76="返信あり","返信対応",IF(J76="検討中","状況確認",IF(J76="不要","対応終了",IF(G76="","初回メール",IF(I76&lt;&gt;"","追客完了",IF(TODAY()&gt;=H76,"追客メール","待機")))))))))</x:f>
      </x:c>
    </x:row>
    <x:row r="77">
      <x:c r="A77" s="29" t="str">
        <x:f>IF(B77="","",ROW()-4)</x:f>
      </x:c>
      <x:c r="B77" s="30"/>
      <x:c r="C77" s="30"/>
      <x:c r="D77" s="33"/>
      <x:c r="E77" s="33"/>
      <x:c r="F77" s="33"/>
      <x:c r="G77" s="31"/>
      <x:c r="H77" s="32" t="str">
        <x:f>IF(G77="","",G77+'設定・使い方'!$B$4)</x:f>
      </x:c>
      <x:c r="I77" s="31"/>
      <x:c r="J77" s="30" t="str">
        <x:v>未返信</x:v>
      </x:c>
      <x:c r="K77" s="30" t="str">
        <x:v>いいえ</x:v>
      </x:c>
      <x:c r="L77" s="29" t="str">
        <x:f>IF(B77="","",IF(K77="はい","送信禁止",IF(J77="成約","成約",IF(OR(J77="返信あり",J77="検討中",J77="不要"),"返信あり",IF(G77="","未送信",IF(I77&lt;&gt;"","追客済み",IF(TODAY()&gt;=H77,"追客対象","初回送信済み")))))))</x:f>
      </x:c>
      <x:c r="M77" s="29" t="str">
        <x:f>IF(B77="","",IF(K77="はい","送信しない",IF(J77="成約","対応完了",IF(J77="返信あり","返信対応",IF(J77="検討中","状況確認",IF(J77="不要","対応終了",IF(G77="","初回メール",IF(I77&lt;&gt;"","追客完了",IF(TODAY()&gt;=H77,"追客メール","待機")))))))))</x:f>
      </x:c>
    </x:row>
    <x:row r="78">
      <x:c r="A78" s="29" t="str">
        <x:f>IF(B78="","",ROW()-4)</x:f>
      </x:c>
      <x:c r="B78" s="30"/>
      <x:c r="C78" s="30"/>
      <x:c r="D78" s="33"/>
      <x:c r="E78" s="33"/>
      <x:c r="F78" s="33"/>
      <x:c r="G78" s="31"/>
      <x:c r="H78" s="32" t="str">
        <x:f>IF(G78="","",G78+'設定・使い方'!$B$4)</x:f>
      </x:c>
      <x:c r="I78" s="31"/>
      <x:c r="J78" s="30" t="str">
        <x:v>未返信</x:v>
      </x:c>
      <x:c r="K78" s="30" t="str">
        <x:v>いいえ</x:v>
      </x:c>
      <x:c r="L78" s="29" t="str">
        <x:f>IF(B78="","",IF(K78="はい","送信禁止",IF(J78="成約","成約",IF(OR(J78="返信あり",J78="検討中",J78="不要"),"返信あり",IF(G78="","未送信",IF(I78&lt;&gt;"","追客済み",IF(TODAY()&gt;=H78,"追客対象","初回送信済み")))))))</x:f>
      </x:c>
      <x:c r="M78" s="29" t="str">
        <x:f>IF(B78="","",IF(K78="はい","送信しない",IF(J78="成約","対応完了",IF(J78="返信あり","返信対応",IF(J78="検討中","状況確認",IF(J78="不要","対応終了",IF(G78="","初回メール",IF(I78&lt;&gt;"","追客完了",IF(TODAY()&gt;=H78,"追客メール","待機")))))))))</x:f>
      </x:c>
    </x:row>
    <x:row r="79">
      <x:c r="A79" s="29" t="str">
        <x:f>IF(B79="","",ROW()-4)</x:f>
      </x:c>
      <x:c r="B79" s="30"/>
      <x:c r="C79" s="30"/>
      <x:c r="D79" s="33"/>
      <x:c r="E79" s="33"/>
      <x:c r="F79" s="33"/>
      <x:c r="G79" s="31"/>
      <x:c r="H79" s="32" t="str">
        <x:f>IF(G79="","",G79+'設定・使い方'!$B$4)</x:f>
      </x:c>
      <x:c r="I79" s="31"/>
      <x:c r="J79" s="30" t="str">
        <x:v>未返信</x:v>
      </x:c>
      <x:c r="K79" s="30" t="str">
        <x:v>いいえ</x:v>
      </x:c>
      <x:c r="L79" s="29" t="str">
        <x:f>IF(B79="","",IF(K79="はい","送信禁止",IF(J79="成約","成約",IF(OR(J79="返信あり",J79="検討中",J79="不要"),"返信あり",IF(G79="","未送信",IF(I79&lt;&gt;"","追客済み",IF(TODAY()&gt;=H79,"追客対象","初回送信済み")))))))</x:f>
      </x:c>
      <x:c r="M79" s="29" t="str">
        <x:f>IF(B79="","",IF(K79="はい","送信しない",IF(J79="成約","対応完了",IF(J79="返信あり","返信対応",IF(J79="検討中","状況確認",IF(J79="不要","対応終了",IF(G79="","初回メール",IF(I79&lt;&gt;"","追客完了",IF(TODAY()&gt;=H79,"追客メール","待機")))))))))</x:f>
      </x:c>
    </x:row>
    <x:row r="80">
      <x:c r="A80" s="29" t="str">
        <x:f>IF(B80="","",ROW()-4)</x:f>
      </x:c>
      <x:c r="B80" s="30"/>
      <x:c r="C80" s="30"/>
      <x:c r="D80" s="33"/>
      <x:c r="E80" s="33"/>
      <x:c r="F80" s="33"/>
      <x:c r="G80" s="31"/>
      <x:c r="H80" s="32" t="str">
        <x:f>IF(G80="","",G80+'設定・使い方'!$B$4)</x:f>
      </x:c>
      <x:c r="I80" s="31"/>
      <x:c r="J80" s="30" t="str">
        <x:v>未返信</x:v>
      </x:c>
      <x:c r="K80" s="30" t="str">
        <x:v>いいえ</x:v>
      </x:c>
      <x:c r="L80" s="29" t="str">
        <x:f>IF(B80="","",IF(K80="はい","送信禁止",IF(J80="成約","成約",IF(OR(J80="返信あり",J80="検討中",J80="不要"),"返信あり",IF(G80="","未送信",IF(I80&lt;&gt;"","追客済み",IF(TODAY()&gt;=H80,"追客対象","初回送信済み")))))))</x:f>
      </x:c>
      <x:c r="M80" s="29" t="str">
        <x:f>IF(B80="","",IF(K80="はい","送信しない",IF(J80="成約","対応完了",IF(J80="返信あり","返信対応",IF(J80="検討中","状況確認",IF(J80="不要","対応終了",IF(G80="","初回メール",IF(I80&lt;&gt;"","追客完了",IF(TODAY()&gt;=H80,"追客メール","待機")))))))))</x:f>
      </x:c>
    </x:row>
    <x:row r="81">
      <x:c r="A81" s="29" t="str">
        <x:f>IF(B81="","",ROW()-4)</x:f>
      </x:c>
      <x:c r="B81" s="30"/>
      <x:c r="C81" s="30"/>
      <x:c r="D81" s="33"/>
      <x:c r="E81" s="33"/>
      <x:c r="F81" s="33"/>
      <x:c r="G81" s="31"/>
      <x:c r="H81" s="32" t="str">
        <x:f>IF(G81="","",G81+'設定・使い方'!$B$4)</x:f>
      </x:c>
      <x:c r="I81" s="31"/>
      <x:c r="J81" s="30" t="str">
        <x:v>未返信</x:v>
      </x:c>
      <x:c r="K81" s="30" t="str">
        <x:v>いいえ</x:v>
      </x:c>
      <x:c r="L81" s="29" t="str">
        <x:f>IF(B81="","",IF(K81="はい","送信禁止",IF(J81="成約","成約",IF(OR(J81="返信あり",J81="検討中",J81="不要"),"返信あり",IF(G81="","未送信",IF(I81&lt;&gt;"","追客済み",IF(TODAY()&gt;=H81,"追客対象","初回送信済み")))))))</x:f>
      </x:c>
      <x:c r="M81" s="29" t="str">
        <x:f>IF(B81="","",IF(K81="はい","送信しない",IF(J81="成約","対応完了",IF(J81="返信あり","返信対応",IF(J81="検討中","状況確認",IF(J81="不要","対応終了",IF(G81="","初回メール",IF(I81&lt;&gt;"","追客完了",IF(TODAY()&gt;=H81,"追客メール","待機")))))))))</x:f>
      </x:c>
    </x:row>
    <x:row r="82">
      <x:c r="A82" s="29" t="str">
        <x:f>IF(B82="","",ROW()-4)</x:f>
      </x:c>
      <x:c r="B82" s="30"/>
      <x:c r="C82" s="30"/>
      <x:c r="D82" s="33"/>
      <x:c r="E82" s="33"/>
      <x:c r="F82" s="33"/>
      <x:c r="G82" s="31"/>
      <x:c r="H82" s="32" t="str">
        <x:f>IF(G82="","",G82+'設定・使い方'!$B$4)</x:f>
      </x:c>
      <x:c r="I82" s="31"/>
      <x:c r="J82" s="30" t="str">
        <x:v>未返信</x:v>
      </x:c>
      <x:c r="K82" s="30" t="str">
        <x:v>いいえ</x:v>
      </x:c>
      <x:c r="L82" s="29" t="str">
        <x:f>IF(B82="","",IF(K82="はい","送信禁止",IF(J82="成約","成約",IF(OR(J82="返信あり",J82="検討中",J82="不要"),"返信あり",IF(G82="","未送信",IF(I82&lt;&gt;"","追客済み",IF(TODAY()&gt;=H82,"追客対象","初回送信済み")))))))</x:f>
      </x:c>
      <x:c r="M82" s="29" t="str">
        <x:f>IF(B82="","",IF(K82="はい","送信しない",IF(J82="成約","対応完了",IF(J82="返信あり","返信対応",IF(J82="検討中","状況確認",IF(J82="不要","対応終了",IF(G82="","初回メール",IF(I82&lt;&gt;"","追客完了",IF(TODAY()&gt;=H82,"追客メール","待機")))))))))</x:f>
      </x:c>
    </x:row>
    <x:row r="83">
      <x:c r="A83" s="29" t="str">
        <x:f>IF(B83="","",ROW()-4)</x:f>
      </x:c>
      <x:c r="B83" s="30"/>
      <x:c r="C83" s="30"/>
      <x:c r="D83" s="33"/>
      <x:c r="E83" s="33"/>
      <x:c r="F83" s="33"/>
      <x:c r="G83" s="31"/>
      <x:c r="H83" s="32" t="str">
        <x:f>IF(G83="","",G83+'設定・使い方'!$B$4)</x:f>
      </x:c>
      <x:c r="I83" s="31"/>
      <x:c r="J83" s="30" t="str">
        <x:v>未返信</x:v>
      </x:c>
      <x:c r="K83" s="30" t="str">
        <x:v>いいえ</x:v>
      </x:c>
      <x:c r="L83" s="29" t="str">
        <x:f>IF(B83="","",IF(K83="はい","送信禁止",IF(J83="成約","成約",IF(OR(J83="返信あり",J83="検討中",J83="不要"),"返信あり",IF(G83="","未送信",IF(I83&lt;&gt;"","追客済み",IF(TODAY()&gt;=H83,"追客対象","初回送信済み")))))))</x:f>
      </x:c>
      <x:c r="M83" s="29" t="str">
        <x:f>IF(B83="","",IF(K83="はい","送信しない",IF(J83="成約","対応完了",IF(J83="返信あり","返信対応",IF(J83="検討中","状況確認",IF(J83="不要","対応終了",IF(G83="","初回メール",IF(I83&lt;&gt;"","追客完了",IF(TODAY()&gt;=H83,"追客メール","待機")))))))))</x:f>
      </x:c>
    </x:row>
    <x:row r="84">
      <x:c r="A84" s="29" t="str">
        <x:f>IF(B84="","",ROW()-4)</x:f>
      </x:c>
      <x:c r="B84" s="30"/>
      <x:c r="C84" s="30"/>
      <x:c r="D84" s="33"/>
      <x:c r="E84" s="33"/>
      <x:c r="F84" s="33"/>
      <x:c r="G84" s="31"/>
      <x:c r="H84" s="32" t="str">
        <x:f>IF(G84="","",G84+'設定・使い方'!$B$4)</x:f>
      </x:c>
      <x:c r="I84" s="31"/>
      <x:c r="J84" s="30" t="str">
        <x:v>未返信</x:v>
      </x:c>
      <x:c r="K84" s="30" t="str">
        <x:v>いいえ</x:v>
      </x:c>
      <x:c r="L84" s="29" t="str">
        <x:f>IF(B84="","",IF(K84="はい","送信禁止",IF(J84="成約","成約",IF(OR(J84="返信あり",J84="検討中",J84="不要"),"返信あり",IF(G84="","未送信",IF(I84&lt;&gt;"","追客済み",IF(TODAY()&gt;=H84,"追客対象","初回送信済み")))))))</x:f>
      </x:c>
      <x:c r="M84" s="29" t="str">
        <x:f>IF(B84="","",IF(K84="はい","送信しない",IF(J84="成約","対応完了",IF(J84="返信あり","返信対応",IF(J84="検討中","状況確認",IF(J84="不要","対応終了",IF(G84="","初回メール",IF(I84&lt;&gt;"","追客完了",IF(TODAY()&gt;=H84,"追客メール","待機")))))))))</x:f>
      </x:c>
    </x:row>
    <x:row r="85">
      <x:c r="A85" s="29" t="str">
        <x:f>IF(B85="","",ROW()-4)</x:f>
      </x:c>
      <x:c r="B85" s="30"/>
      <x:c r="C85" s="30"/>
      <x:c r="D85" s="33"/>
      <x:c r="E85" s="33"/>
      <x:c r="F85" s="33"/>
      <x:c r="G85" s="31"/>
      <x:c r="H85" s="32" t="str">
        <x:f>IF(G85="","",G85+'設定・使い方'!$B$4)</x:f>
      </x:c>
      <x:c r="I85" s="31"/>
      <x:c r="J85" s="30" t="str">
        <x:v>未返信</x:v>
      </x:c>
      <x:c r="K85" s="30" t="str">
        <x:v>いいえ</x:v>
      </x:c>
      <x:c r="L85" s="29" t="str">
        <x:f>IF(B85="","",IF(K85="はい","送信禁止",IF(J85="成約","成約",IF(OR(J85="返信あり",J85="検討中",J85="不要"),"返信あり",IF(G85="","未送信",IF(I85&lt;&gt;"","追客済み",IF(TODAY()&gt;=H85,"追客対象","初回送信済み")))))))</x:f>
      </x:c>
      <x:c r="M85" s="29" t="str">
        <x:f>IF(B85="","",IF(K85="はい","送信しない",IF(J85="成約","対応完了",IF(J85="返信あり","返信対応",IF(J85="検討中","状況確認",IF(J85="不要","対応終了",IF(G85="","初回メール",IF(I85&lt;&gt;"","追客完了",IF(TODAY()&gt;=H85,"追客メール","待機")))))))))</x:f>
      </x:c>
    </x:row>
    <x:row r="86">
      <x:c r="A86" s="29" t="str">
        <x:f>IF(B86="","",ROW()-4)</x:f>
      </x:c>
      <x:c r="B86" s="30"/>
      <x:c r="C86" s="30"/>
      <x:c r="D86" s="33"/>
      <x:c r="E86" s="33"/>
      <x:c r="F86" s="33"/>
      <x:c r="G86" s="31"/>
      <x:c r="H86" s="32" t="str">
        <x:f>IF(G86="","",G86+'設定・使い方'!$B$4)</x:f>
      </x:c>
      <x:c r="I86" s="31"/>
      <x:c r="J86" s="30" t="str">
        <x:v>未返信</x:v>
      </x:c>
      <x:c r="K86" s="30" t="str">
        <x:v>いいえ</x:v>
      </x:c>
      <x:c r="L86" s="29" t="str">
        <x:f>IF(B86="","",IF(K86="はい","送信禁止",IF(J86="成約","成約",IF(OR(J86="返信あり",J86="検討中",J86="不要"),"返信あり",IF(G86="","未送信",IF(I86&lt;&gt;"","追客済み",IF(TODAY()&gt;=H86,"追客対象","初回送信済み")))))))</x:f>
      </x:c>
      <x:c r="M86" s="29" t="str">
        <x:f>IF(B86="","",IF(K86="はい","送信しない",IF(J86="成約","対応完了",IF(J86="返信あり","返信対応",IF(J86="検討中","状況確認",IF(J86="不要","対応終了",IF(G86="","初回メール",IF(I86&lt;&gt;"","追客完了",IF(TODAY()&gt;=H86,"追客メール","待機")))))))))</x:f>
      </x:c>
    </x:row>
    <x:row r="87">
      <x:c r="A87" s="29" t="str">
        <x:f>IF(B87="","",ROW()-4)</x:f>
      </x:c>
      <x:c r="B87" s="30"/>
      <x:c r="C87" s="30"/>
      <x:c r="D87" s="33"/>
      <x:c r="E87" s="33"/>
      <x:c r="F87" s="33"/>
      <x:c r="G87" s="31"/>
      <x:c r="H87" s="32" t="str">
        <x:f>IF(G87="","",G87+'設定・使い方'!$B$4)</x:f>
      </x:c>
      <x:c r="I87" s="31"/>
      <x:c r="J87" s="30" t="str">
        <x:v>未返信</x:v>
      </x:c>
      <x:c r="K87" s="30" t="str">
        <x:v>いいえ</x:v>
      </x:c>
      <x:c r="L87" s="29" t="str">
        <x:f>IF(B87="","",IF(K87="はい","送信禁止",IF(J87="成約","成約",IF(OR(J87="返信あり",J87="検討中",J87="不要"),"返信あり",IF(G87="","未送信",IF(I87&lt;&gt;"","追客済み",IF(TODAY()&gt;=H87,"追客対象","初回送信済み")))))))</x:f>
      </x:c>
      <x:c r="M87" s="29" t="str">
        <x:f>IF(B87="","",IF(K87="はい","送信しない",IF(J87="成約","対応完了",IF(J87="返信あり","返信対応",IF(J87="検討中","状況確認",IF(J87="不要","対応終了",IF(G87="","初回メール",IF(I87&lt;&gt;"","追客完了",IF(TODAY()&gt;=H87,"追客メール","待機")))))))))</x:f>
      </x:c>
    </x:row>
    <x:row r="88">
      <x:c r="A88" s="29" t="str">
        <x:f>IF(B88="","",ROW()-4)</x:f>
      </x:c>
      <x:c r="B88" s="30"/>
      <x:c r="C88" s="30"/>
      <x:c r="D88" s="33"/>
      <x:c r="E88" s="33"/>
      <x:c r="F88" s="33"/>
      <x:c r="G88" s="31"/>
      <x:c r="H88" s="32" t="str">
        <x:f>IF(G88="","",G88+'設定・使い方'!$B$4)</x:f>
      </x:c>
      <x:c r="I88" s="31"/>
      <x:c r="J88" s="30" t="str">
        <x:v>未返信</x:v>
      </x:c>
      <x:c r="K88" s="30" t="str">
        <x:v>いいえ</x:v>
      </x:c>
      <x:c r="L88" s="29" t="str">
        <x:f>IF(B88="","",IF(K88="はい","送信禁止",IF(J88="成約","成約",IF(OR(J88="返信あり",J88="検討中",J88="不要"),"返信あり",IF(G88="","未送信",IF(I88&lt;&gt;"","追客済み",IF(TODAY()&gt;=H88,"追客対象","初回送信済み")))))))</x:f>
      </x:c>
      <x:c r="M88" s="29" t="str">
        <x:f>IF(B88="","",IF(K88="はい","送信しない",IF(J88="成約","対応完了",IF(J88="返信あり","返信対応",IF(J88="検討中","状況確認",IF(J88="不要","対応終了",IF(G88="","初回メール",IF(I88&lt;&gt;"","追客完了",IF(TODAY()&gt;=H88,"追客メール","待機")))))))))</x:f>
      </x:c>
    </x:row>
    <x:row r="89">
      <x:c r="A89" s="29" t="str">
        <x:f>IF(B89="","",ROW()-4)</x:f>
      </x:c>
      <x:c r="B89" s="30"/>
      <x:c r="C89" s="30"/>
      <x:c r="D89" s="33"/>
      <x:c r="E89" s="33"/>
      <x:c r="F89" s="33"/>
      <x:c r="G89" s="31"/>
      <x:c r="H89" s="32" t="str">
        <x:f>IF(G89="","",G89+'設定・使い方'!$B$4)</x:f>
      </x:c>
      <x:c r="I89" s="31"/>
      <x:c r="J89" s="30" t="str">
        <x:v>未返信</x:v>
      </x:c>
      <x:c r="K89" s="30" t="str">
        <x:v>いいえ</x:v>
      </x:c>
      <x:c r="L89" s="29" t="str">
        <x:f>IF(B89="","",IF(K89="はい","送信禁止",IF(J89="成約","成約",IF(OR(J89="返信あり",J89="検討中",J89="不要"),"返信あり",IF(G89="","未送信",IF(I89&lt;&gt;"","追客済み",IF(TODAY()&gt;=H89,"追客対象","初回送信済み")))))))</x:f>
      </x:c>
      <x:c r="M89" s="29" t="str">
        <x:f>IF(B89="","",IF(K89="はい","送信しない",IF(J89="成約","対応完了",IF(J89="返信あり","返信対応",IF(J89="検討中","状況確認",IF(J89="不要","対応終了",IF(G89="","初回メール",IF(I89&lt;&gt;"","追客完了",IF(TODAY()&gt;=H89,"追客メール","待機")))))))))</x:f>
      </x:c>
    </x:row>
    <x:row r="90">
      <x:c r="A90" s="29" t="str">
        <x:f>IF(B90="","",ROW()-4)</x:f>
      </x:c>
      <x:c r="B90" s="30"/>
      <x:c r="C90" s="30"/>
      <x:c r="D90" s="33"/>
      <x:c r="E90" s="33"/>
      <x:c r="F90" s="33"/>
      <x:c r="G90" s="31"/>
      <x:c r="H90" s="32" t="str">
        <x:f>IF(G90="","",G90+'設定・使い方'!$B$4)</x:f>
      </x:c>
      <x:c r="I90" s="31"/>
      <x:c r="J90" s="30" t="str">
        <x:v>未返信</x:v>
      </x:c>
      <x:c r="K90" s="30" t="str">
        <x:v>いいえ</x:v>
      </x:c>
      <x:c r="L90" s="29" t="str">
        <x:f>IF(B90="","",IF(K90="はい","送信禁止",IF(J90="成約","成約",IF(OR(J90="返信あり",J90="検討中",J90="不要"),"返信あり",IF(G90="","未送信",IF(I90&lt;&gt;"","追客済み",IF(TODAY()&gt;=H90,"追客対象","初回送信済み")))))))</x:f>
      </x:c>
      <x:c r="M90" s="29" t="str">
        <x:f>IF(B90="","",IF(K90="はい","送信しない",IF(J90="成約","対応完了",IF(J90="返信あり","返信対応",IF(J90="検討中","状況確認",IF(J90="不要","対応終了",IF(G90="","初回メール",IF(I90&lt;&gt;"","追客完了",IF(TODAY()&gt;=H90,"追客メール","待機")))))))))</x:f>
      </x:c>
    </x:row>
    <x:row r="91">
      <x:c r="A91" s="29" t="str">
        <x:f>IF(B91="","",ROW()-4)</x:f>
      </x:c>
      <x:c r="B91" s="30"/>
      <x:c r="C91" s="30"/>
      <x:c r="D91" s="33"/>
      <x:c r="E91" s="33"/>
      <x:c r="F91" s="33"/>
      <x:c r="G91" s="31"/>
      <x:c r="H91" s="32" t="str">
        <x:f>IF(G91="","",G91+'設定・使い方'!$B$4)</x:f>
      </x:c>
      <x:c r="I91" s="31"/>
      <x:c r="J91" s="30" t="str">
        <x:v>未返信</x:v>
      </x:c>
      <x:c r="K91" s="30" t="str">
        <x:v>いいえ</x:v>
      </x:c>
      <x:c r="L91" s="29" t="str">
        <x:f>IF(B91="","",IF(K91="はい","送信禁止",IF(J91="成約","成約",IF(OR(J91="返信あり",J91="検討中",J91="不要"),"返信あり",IF(G91="","未送信",IF(I91&lt;&gt;"","追客済み",IF(TODAY()&gt;=H91,"追客対象","初回送信済み")))))))</x:f>
      </x:c>
      <x:c r="M91" s="29" t="str">
        <x:f>IF(B91="","",IF(K91="はい","送信しない",IF(J91="成約","対応完了",IF(J91="返信あり","返信対応",IF(J91="検討中","状況確認",IF(J91="不要","対応終了",IF(G91="","初回メール",IF(I91&lt;&gt;"","追客完了",IF(TODAY()&gt;=H91,"追客メール","待機")))))))))</x:f>
      </x:c>
    </x:row>
    <x:row r="92">
      <x:c r="A92" s="29" t="str">
        <x:f>IF(B92="","",ROW()-4)</x:f>
      </x:c>
      <x:c r="B92" s="30"/>
      <x:c r="C92" s="30"/>
      <x:c r="D92" s="33"/>
      <x:c r="E92" s="33"/>
      <x:c r="F92" s="33"/>
      <x:c r="G92" s="31"/>
      <x:c r="H92" s="32" t="str">
        <x:f>IF(G92="","",G92+'設定・使い方'!$B$4)</x:f>
      </x:c>
      <x:c r="I92" s="31"/>
      <x:c r="J92" s="30" t="str">
        <x:v>未返信</x:v>
      </x:c>
      <x:c r="K92" s="30" t="str">
        <x:v>いいえ</x:v>
      </x:c>
      <x:c r="L92" s="29" t="str">
        <x:f>IF(B92="","",IF(K92="はい","送信禁止",IF(J92="成約","成約",IF(OR(J92="返信あり",J92="検討中",J92="不要"),"返信あり",IF(G92="","未送信",IF(I92&lt;&gt;"","追客済み",IF(TODAY()&gt;=H92,"追客対象","初回送信済み")))))))</x:f>
      </x:c>
      <x:c r="M92" s="29" t="str">
        <x:f>IF(B92="","",IF(K92="はい","送信しない",IF(J92="成約","対応完了",IF(J92="返信あり","返信対応",IF(J92="検討中","状況確認",IF(J92="不要","対応終了",IF(G92="","初回メール",IF(I92&lt;&gt;"","追客完了",IF(TODAY()&gt;=H92,"追客メール","待機")))))))))</x:f>
      </x:c>
    </x:row>
    <x:row r="93">
      <x:c r="A93" s="29" t="str">
        <x:f>IF(B93="","",ROW()-4)</x:f>
      </x:c>
      <x:c r="B93" s="30"/>
      <x:c r="C93" s="30"/>
      <x:c r="D93" s="33"/>
      <x:c r="E93" s="33"/>
      <x:c r="F93" s="33"/>
      <x:c r="G93" s="31"/>
      <x:c r="H93" s="32" t="str">
        <x:f>IF(G93="","",G93+'設定・使い方'!$B$4)</x:f>
      </x:c>
      <x:c r="I93" s="31"/>
      <x:c r="J93" s="30" t="str">
        <x:v>未返信</x:v>
      </x:c>
      <x:c r="K93" s="30" t="str">
        <x:v>いいえ</x:v>
      </x:c>
      <x:c r="L93" s="29" t="str">
        <x:f>IF(B93="","",IF(K93="はい","送信禁止",IF(J93="成約","成約",IF(OR(J93="返信あり",J93="検討中",J93="不要"),"返信あり",IF(G93="","未送信",IF(I93&lt;&gt;"","追客済み",IF(TODAY()&gt;=H93,"追客対象","初回送信済み")))))))</x:f>
      </x:c>
      <x:c r="M93" s="29" t="str">
        <x:f>IF(B93="","",IF(K93="はい","送信しない",IF(J93="成約","対応完了",IF(J93="返信あり","返信対応",IF(J93="検討中","状況確認",IF(J93="不要","対応終了",IF(G93="","初回メール",IF(I93&lt;&gt;"","追客完了",IF(TODAY()&gt;=H93,"追客メール","待機")))))))))</x:f>
      </x:c>
    </x:row>
    <x:row r="94">
      <x:c r="A94" s="29" t="str">
        <x:f>IF(B94="","",ROW()-4)</x:f>
      </x:c>
      <x:c r="B94" s="30"/>
      <x:c r="C94" s="30"/>
      <x:c r="D94" s="33"/>
      <x:c r="E94" s="33"/>
      <x:c r="F94" s="33"/>
      <x:c r="G94" s="31"/>
      <x:c r="H94" s="32" t="str">
        <x:f>IF(G94="","",G94+'設定・使い方'!$B$4)</x:f>
      </x:c>
      <x:c r="I94" s="31"/>
      <x:c r="J94" s="30" t="str">
        <x:v>未返信</x:v>
      </x:c>
      <x:c r="K94" s="30" t="str">
        <x:v>いいえ</x:v>
      </x:c>
      <x:c r="L94" s="29" t="str">
        <x:f>IF(B94="","",IF(K94="はい","送信禁止",IF(J94="成約","成約",IF(OR(J94="返信あり",J94="検討中",J94="不要"),"返信あり",IF(G94="","未送信",IF(I94&lt;&gt;"","追客済み",IF(TODAY()&gt;=H94,"追客対象","初回送信済み")))))))</x:f>
      </x:c>
      <x:c r="M94" s="29" t="str">
        <x:f>IF(B94="","",IF(K94="はい","送信しない",IF(J94="成約","対応完了",IF(J94="返信あり","返信対応",IF(J94="検討中","状況確認",IF(J94="不要","対応終了",IF(G94="","初回メール",IF(I94&lt;&gt;"","追客完了",IF(TODAY()&gt;=H94,"追客メール","待機")))))))))</x:f>
      </x:c>
    </x:row>
    <x:row r="95">
      <x:c r="A95" s="29" t="str">
        <x:f>IF(B95="","",ROW()-4)</x:f>
      </x:c>
      <x:c r="B95" s="30"/>
      <x:c r="C95" s="30"/>
      <x:c r="D95" s="33"/>
      <x:c r="E95" s="33"/>
      <x:c r="F95" s="33"/>
      <x:c r="G95" s="31"/>
      <x:c r="H95" s="32" t="str">
        <x:f>IF(G95="","",G95+'設定・使い方'!$B$4)</x:f>
      </x:c>
      <x:c r="I95" s="31"/>
      <x:c r="J95" s="30" t="str">
        <x:v>未返信</x:v>
      </x:c>
      <x:c r="K95" s="30" t="str">
        <x:v>いいえ</x:v>
      </x:c>
      <x:c r="L95" s="29" t="str">
        <x:f>IF(B95="","",IF(K95="はい","送信禁止",IF(J95="成約","成約",IF(OR(J95="返信あり",J95="検討中",J95="不要"),"返信あり",IF(G95="","未送信",IF(I95&lt;&gt;"","追客済み",IF(TODAY()&gt;=H95,"追客対象","初回送信済み")))))))</x:f>
      </x:c>
      <x:c r="M95" s="29" t="str">
        <x:f>IF(B95="","",IF(K95="はい","送信しない",IF(J95="成約","対応完了",IF(J95="返信あり","返信対応",IF(J95="検討中","状況確認",IF(J95="不要","対応終了",IF(G95="","初回メール",IF(I95&lt;&gt;"","追客完了",IF(TODAY()&gt;=H95,"追客メール","待機")))))))))</x:f>
      </x:c>
    </x:row>
    <x:row r="96">
      <x:c r="A96" s="29" t="str">
        <x:f>IF(B96="","",ROW()-4)</x:f>
      </x:c>
      <x:c r="B96" s="30"/>
      <x:c r="C96" s="30"/>
      <x:c r="D96" s="33"/>
      <x:c r="E96" s="33"/>
      <x:c r="F96" s="33"/>
      <x:c r="G96" s="31"/>
      <x:c r="H96" s="32" t="str">
        <x:f>IF(G96="","",G96+'設定・使い方'!$B$4)</x:f>
      </x:c>
      <x:c r="I96" s="31"/>
      <x:c r="J96" s="30" t="str">
        <x:v>未返信</x:v>
      </x:c>
      <x:c r="K96" s="30" t="str">
        <x:v>いいえ</x:v>
      </x:c>
      <x:c r="L96" s="29" t="str">
        <x:f>IF(B96="","",IF(K96="はい","送信禁止",IF(J96="成約","成約",IF(OR(J96="返信あり",J96="検討中",J96="不要"),"返信あり",IF(G96="","未送信",IF(I96&lt;&gt;"","追客済み",IF(TODAY()&gt;=H96,"追客対象","初回送信済み")))))))</x:f>
      </x:c>
      <x:c r="M96" s="29" t="str">
        <x:f>IF(B96="","",IF(K96="はい","送信しない",IF(J96="成約","対応完了",IF(J96="返信あり","返信対応",IF(J96="検討中","状況確認",IF(J96="不要","対応終了",IF(G96="","初回メール",IF(I96&lt;&gt;"","追客完了",IF(TODAY()&gt;=H96,"追客メール","待機")))))))))</x:f>
      </x:c>
    </x:row>
    <x:row r="97">
      <x:c r="A97" s="29" t="str">
        <x:f>IF(B97="","",ROW()-4)</x:f>
      </x:c>
      <x:c r="B97" s="30"/>
      <x:c r="C97" s="30"/>
      <x:c r="D97" s="33"/>
      <x:c r="E97" s="33"/>
      <x:c r="F97" s="33"/>
      <x:c r="G97" s="31"/>
      <x:c r="H97" s="32" t="str">
        <x:f>IF(G97="","",G97+'設定・使い方'!$B$4)</x:f>
      </x:c>
      <x:c r="I97" s="31"/>
      <x:c r="J97" s="30" t="str">
        <x:v>未返信</x:v>
      </x:c>
      <x:c r="K97" s="30" t="str">
        <x:v>いいえ</x:v>
      </x:c>
      <x:c r="L97" s="29" t="str">
        <x:f>IF(B97="","",IF(K97="はい","送信禁止",IF(J97="成約","成約",IF(OR(J97="返信あり",J97="検討中",J97="不要"),"返信あり",IF(G97="","未送信",IF(I97&lt;&gt;"","追客済み",IF(TODAY()&gt;=H97,"追客対象","初回送信済み")))))))</x:f>
      </x:c>
      <x:c r="M97" s="29" t="str">
        <x:f>IF(B97="","",IF(K97="はい","送信しない",IF(J97="成約","対応完了",IF(J97="返信あり","返信対応",IF(J97="検討中","状況確認",IF(J97="不要","対応終了",IF(G97="","初回メール",IF(I97&lt;&gt;"","追客完了",IF(TODAY()&gt;=H97,"追客メール","待機")))))))))</x:f>
      </x:c>
    </x:row>
    <x:row r="98">
      <x:c r="A98" s="29" t="str">
        <x:f>IF(B98="","",ROW()-4)</x:f>
      </x:c>
      <x:c r="B98" s="30"/>
      <x:c r="C98" s="30"/>
      <x:c r="D98" s="33"/>
      <x:c r="E98" s="33"/>
      <x:c r="F98" s="33"/>
      <x:c r="G98" s="31"/>
      <x:c r="H98" s="32" t="str">
        <x:f>IF(G98="","",G98+'設定・使い方'!$B$4)</x:f>
      </x:c>
      <x:c r="I98" s="31"/>
      <x:c r="J98" s="30" t="str">
        <x:v>未返信</x:v>
      </x:c>
      <x:c r="K98" s="30" t="str">
        <x:v>いいえ</x:v>
      </x:c>
      <x:c r="L98" s="29" t="str">
        <x:f>IF(B98="","",IF(K98="はい","送信禁止",IF(J98="成約","成約",IF(OR(J98="返信あり",J98="検討中",J98="不要"),"返信あり",IF(G98="","未送信",IF(I98&lt;&gt;"","追客済み",IF(TODAY()&gt;=H98,"追客対象","初回送信済み")))))))</x:f>
      </x:c>
      <x:c r="M98" s="29" t="str">
        <x:f>IF(B98="","",IF(K98="はい","送信しない",IF(J98="成約","対応完了",IF(J98="返信あり","返信対応",IF(J98="検討中","状況確認",IF(J98="不要","対応終了",IF(G98="","初回メール",IF(I98&lt;&gt;"","追客完了",IF(TODAY()&gt;=H98,"追客メール","待機")))))))))</x:f>
      </x:c>
    </x:row>
    <x:row r="99">
      <x:c r="A99" s="29" t="str">
        <x:f>IF(B99="","",ROW()-4)</x:f>
      </x:c>
      <x:c r="B99" s="30"/>
      <x:c r="C99" s="30"/>
      <x:c r="D99" s="33"/>
      <x:c r="E99" s="33"/>
      <x:c r="F99" s="33"/>
      <x:c r="G99" s="31"/>
      <x:c r="H99" s="32" t="str">
        <x:f>IF(G99="","",G99+'設定・使い方'!$B$4)</x:f>
      </x:c>
      <x:c r="I99" s="31"/>
      <x:c r="J99" s="30" t="str">
        <x:v>未返信</x:v>
      </x:c>
      <x:c r="K99" s="30" t="str">
        <x:v>いいえ</x:v>
      </x:c>
      <x:c r="L99" s="29" t="str">
        <x:f>IF(B99="","",IF(K99="はい","送信禁止",IF(J99="成約","成約",IF(OR(J99="返信あり",J99="検討中",J99="不要"),"返信あり",IF(G99="","未送信",IF(I99&lt;&gt;"","追客済み",IF(TODAY()&gt;=H99,"追客対象","初回送信済み")))))))</x:f>
      </x:c>
      <x:c r="M99" s="29" t="str">
        <x:f>IF(B99="","",IF(K99="はい","送信しない",IF(J99="成約","対応完了",IF(J99="返信あり","返信対応",IF(J99="検討中","状況確認",IF(J99="不要","対応終了",IF(G99="","初回メール",IF(I99&lt;&gt;"","追客完了",IF(TODAY()&gt;=H99,"追客メール","待機")))))))))</x:f>
      </x:c>
    </x:row>
    <x:row r="100">
      <x:c r="A100" s="29" t="str">
        <x:f>IF(B100="","",ROW()-4)</x:f>
      </x:c>
      <x:c r="B100" s="30"/>
      <x:c r="C100" s="30"/>
      <x:c r="D100" s="33"/>
      <x:c r="E100" s="33"/>
      <x:c r="F100" s="33"/>
      <x:c r="G100" s="31"/>
      <x:c r="H100" s="32" t="str">
        <x:f>IF(G100="","",G100+'設定・使い方'!$B$4)</x:f>
      </x:c>
      <x:c r="I100" s="31"/>
      <x:c r="J100" s="30" t="str">
        <x:v>未返信</x:v>
      </x:c>
      <x:c r="K100" s="30" t="str">
        <x:v>いいえ</x:v>
      </x:c>
      <x:c r="L100" s="29" t="str">
        <x:f>IF(B100="","",IF(K100="はい","送信禁止",IF(J100="成約","成約",IF(OR(J100="返信あり",J100="検討中",J100="不要"),"返信あり",IF(G100="","未送信",IF(I100&lt;&gt;"","追客済み",IF(TODAY()&gt;=H100,"追客対象","初回送信済み")))))))</x:f>
      </x:c>
      <x:c r="M100" s="29" t="str">
        <x:f>IF(B100="","",IF(K100="はい","送信しない",IF(J100="成約","対応完了",IF(J100="返信あり","返信対応",IF(J100="検討中","状況確認",IF(J100="不要","対応終了",IF(G100="","初回メール",IF(I100&lt;&gt;"","追客完了",IF(TODAY()&gt;=H100,"追客メール","待機")))))))))</x:f>
      </x:c>
    </x:row>
    <x:row r="101">
      <x:c r="A101" s="29" t="str">
        <x:f>IF(B101="","",ROW()-4)</x:f>
      </x:c>
      <x:c r="B101" s="30"/>
      <x:c r="C101" s="30"/>
      <x:c r="D101" s="33"/>
      <x:c r="E101" s="33"/>
      <x:c r="F101" s="33"/>
      <x:c r="G101" s="31"/>
      <x:c r="H101" s="32" t="str">
        <x:f>IF(G101="","",G101+'設定・使い方'!$B$4)</x:f>
      </x:c>
      <x:c r="I101" s="31"/>
      <x:c r="J101" s="30" t="str">
        <x:v>未返信</x:v>
      </x:c>
      <x:c r="K101" s="30" t="str">
        <x:v>いいえ</x:v>
      </x:c>
      <x:c r="L101" s="29" t="str">
        <x:f>IF(B101="","",IF(K101="はい","送信禁止",IF(J101="成約","成約",IF(OR(J101="返信あり",J101="検討中",J101="不要"),"返信あり",IF(G101="","未送信",IF(I101&lt;&gt;"","追客済み",IF(TODAY()&gt;=H101,"追客対象","初回送信済み")))))))</x:f>
      </x:c>
      <x:c r="M101" s="29" t="str">
        <x:f>IF(B101="","",IF(K101="はい","送信しない",IF(J101="成約","対応完了",IF(J101="返信あり","返信対応",IF(J101="検討中","状況確認",IF(J101="不要","対応終了",IF(G101="","初回メール",IF(I101&lt;&gt;"","追客完了",IF(TODAY()&gt;=H101,"追客メール","待機")))))))))</x:f>
      </x:c>
    </x:row>
    <x:row r="102">
      <x:c r="A102" s="29" t="str">
        <x:f>IF(B102="","",ROW()-4)</x:f>
      </x:c>
      <x:c r="B102" s="30"/>
      <x:c r="C102" s="30"/>
      <x:c r="D102" s="33"/>
      <x:c r="E102" s="33"/>
      <x:c r="F102" s="33"/>
      <x:c r="G102" s="31"/>
      <x:c r="H102" s="32" t="str">
        <x:f>IF(G102="","",G102+'設定・使い方'!$B$4)</x:f>
      </x:c>
      <x:c r="I102" s="31"/>
      <x:c r="J102" s="30" t="str">
        <x:v>未返信</x:v>
      </x:c>
      <x:c r="K102" s="30" t="str">
        <x:v>いいえ</x:v>
      </x:c>
      <x:c r="L102" s="29" t="str">
        <x:f>IF(B102="","",IF(K102="はい","送信禁止",IF(J102="成約","成約",IF(OR(J102="返信あり",J102="検討中",J102="不要"),"返信あり",IF(G102="","未送信",IF(I102&lt;&gt;"","追客済み",IF(TODAY()&gt;=H102,"追客対象","初回送信済み")))))))</x:f>
      </x:c>
      <x:c r="M102" s="29" t="str">
        <x:f>IF(B102="","",IF(K102="はい","送信しない",IF(J102="成約","対応完了",IF(J102="返信あり","返信対応",IF(J102="検討中","状況確認",IF(J102="不要","対応終了",IF(G102="","初回メール",IF(I102&lt;&gt;"","追客完了",IF(TODAY()&gt;=H102,"追客メール","待機")))))))))</x:f>
      </x:c>
    </x:row>
    <x:row r="103">
      <x:c r="A103" s="29" t="str">
        <x:f>IF(B103="","",ROW()-4)</x:f>
      </x:c>
      <x:c r="B103" s="30"/>
      <x:c r="C103" s="30"/>
      <x:c r="D103" s="33"/>
      <x:c r="E103" s="33"/>
      <x:c r="F103" s="33"/>
      <x:c r="G103" s="31"/>
      <x:c r="H103" s="32" t="str">
        <x:f>IF(G103="","",G103+'設定・使い方'!$B$4)</x:f>
      </x:c>
      <x:c r="I103" s="31"/>
      <x:c r="J103" s="30" t="str">
        <x:v>未返信</x:v>
      </x:c>
      <x:c r="K103" s="30" t="str">
        <x:v>いいえ</x:v>
      </x:c>
      <x:c r="L103" s="29" t="str">
        <x:f>IF(B103="","",IF(K103="はい","送信禁止",IF(J103="成約","成約",IF(OR(J103="返信あり",J103="検討中",J103="不要"),"返信あり",IF(G103="","未送信",IF(I103&lt;&gt;"","追客済み",IF(TODAY()&gt;=H103,"追客対象","初回送信済み")))))))</x:f>
      </x:c>
      <x:c r="M103" s="29" t="str">
        <x:f>IF(B103="","",IF(K103="はい","送信しない",IF(J103="成約","対応完了",IF(J103="返信あり","返信対応",IF(J103="検討中","状況確認",IF(J103="不要","対応終了",IF(G103="","初回メール",IF(I103&lt;&gt;"","追客完了",IF(TODAY()&gt;=H103,"追客メール","待機")))))))))</x:f>
      </x:c>
    </x:row>
    <x:row r="104">
      <x:c r="A104" s="29" t="str">
        <x:f>IF(B104="","",ROW()-4)</x:f>
      </x:c>
      <x:c r="B104" s="30"/>
      <x:c r="C104" s="30"/>
      <x:c r="D104" s="33"/>
      <x:c r="E104" s="33"/>
      <x:c r="F104" s="33"/>
      <x:c r="G104" s="31"/>
      <x:c r="H104" s="32" t="str">
        <x:f>IF(G104="","",G104+'設定・使い方'!$B$4)</x:f>
      </x:c>
      <x:c r="I104" s="31"/>
      <x:c r="J104" s="30" t="str">
        <x:v>未返信</x:v>
      </x:c>
      <x:c r="K104" s="30" t="str">
        <x:v>いいえ</x:v>
      </x:c>
      <x:c r="L104" s="29" t="str">
        <x:f>IF(B104="","",IF(K104="はい","送信禁止",IF(J104="成約","成約",IF(OR(J104="返信あり",J104="検討中",J104="不要"),"返信あり",IF(G104="","未送信",IF(I104&lt;&gt;"","追客済み",IF(TODAY()&gt;=H104,"追客対象","初回送信済み")))))))</x:f>
      </x:c>
      <x:c r="M104" s="29" t="str">
        <x:f>IF(B104="","",IF(K104="はい","送信しない",IF(J104="成約","対応完了",IF(J104="返信あり","返信対応",IF(J104="検討中","状況確認",IF(J104="不要","対応終了",IF(G104="","初回メール",IF(I104&lt;&gt;"","追客完了",IF(TODAY()&gt;=H104,"追客メール","待機")))))))))</x:f>
      </x:c>
    </x:row>
    <x:row r="105">
      <x:c r="A105" s="29" t="str">
        <x:f>IF(B105="","",ROW()-4)</x:f>
      </x:c>
      <x:c r="B105" s="30"/>
      <x:c r="C105" s="30"/>
      <x:c r="D105" s="33"/>
      <x:c r="E105" s="33"/>
      <x:c r="F105" s="33"/>
      <x:c r="G105" s="31"/>
      <x:c r="H105" s="32" t="str">
        <x:f>IF(G105="","",G105+'設定・使い方'!$B$4)</x:f>
      </x:c>
      <x:c r="I105" s="31"/>
      <x:c r="J105" s="30" t="str">
        <x:v>未返信</x:v>
      </x:c>
      <x:c r="K105" s="30" t="str">
        <x:v>いいえ</x:v>
      </x:c>
      <x:c r="L105" s="29" t="str">
        <x:f>IF(B105="","",IF(K105="はい","送信禁止",IF(J105="成約","成約",IF(OR(J105="返信あり",J105="検討中",J105="不要"),"返信あり",IF(G105="","未送信",IF(I105&lt;&gt;"","追客済み",IF(TODAY()&gt;=H105,"追客対象","初回送信済み")))))))</x:f>
      </x:c>
      <x:c r="M105" s="29" t="str">
        <x:f>IF(B105="","",IF(K105="はい","送信しない",IF(J105="成約","対応完了",IF(J105="返信あり","返信対応",IF(J105="検討中","状況確認",IF(J105="不要","対応終了",IF(G105="","初回メール",IF(I105&lt;&gt;"","追客完了",IF(TODAY()&gt;=H105,"追客メール","待機")))))))))</x:f>
      </x:c>
    </x:row>
    <x:row r="106">
      <x:c r="A106" s="29" t="str">
        <x:f>IF(B106="","",ROW()-4)</x:f>
      </x:c>
      <x:c r="B106" s="30"/>
      <x:c r="C106" s="30"/>
      <x:c r="D106" s="33"/>
      <x:c r="E106" s="33"/>
      <x:c r="F106" s="33"/>
      <x:c r="G106" s="31"/>
      <x:c r="H106" s="32" t="str">
        <x:f>IF(G106="","",G106+'設定・使い方'!$B$4)</x:f>
      </x:c>
      <x:c r="I106" s="31"/>
      <x:c r="J106" s="30" t="str">
        <x:v>未返信</x:v>
      </x:c>
      <x:c r="K106" s="30" t="str">
        <x:v>いいえ</x:v>
      </x:c>
      <x:c r="L106" s="29" t="str">
        <x:f>IF(B106="","",IF(K106="はい","送信禁止",IF(J106="成約","成約",IF(OR(J106="返信あり",J106="検討中",J106="不要"),"返信あり",IF(G106="","未送信",IF(I106&lt;&gt;"","追客済み",IF(TODAY()&gt;=H106,"追客対象","初回送信済み")))))))</x:f>
      </x:c>
      <x:c r="M106" s="29" t="str">
        <x:f>IF(B106="","",IF(K106="はい","送信しない",IF(J106="成約","対応完了",IF(J106="返信あり","返信対応",IF(J106="検討中","状況確認",IF(J106="不要","対応終了",IF(G106="","初回メール",IF(I106&lt;&gt;"","追客完了",IF(TODAY()&gt;=H106,"追客メール","待機")))))))))</x:f>
      </x:c>
    </x:row>
    <x:row r="107">
      <x:c r="A107" s="29" t="str">
        <x:f>IF(B107="","",ROW()-4)</x:f>
      </x:c>
      <x:c r="B107" s="30"/>
      <x:c r="C107" s="30"/>
      <x:c r="D107" s="33"/>
      <x:c r="E107" s="33"/>
      <x:c r="F107" s="33"/>
      <x:c r="G107" s="31"/>
      <x:c r="H107" s="32" t="str">
        <x:f>IF(G107="","",G107+'設定・使い方'!$B$4)</x:f>
      </x:c>
      <x:c r="I107" s="31"/>
      <x:c r="J107" s="30" t="str">
        <x:v>未返信</x:v>
      </x:c>
      <x:c r="K107" s="30" t="str">
        <x:v>いいえ</x:v>
      </x:c>
      <x:c r="L107" s="29" t="str">
        <x:f>IF(B107="","",IF(K107="はい","送信禁止",IF(J107="成約","成約",IF(OR(J107="返信あり",J107="検討中",J107="不要"),"返信あり",IF(G107="","未送信",IF(I107&lt;&gt;"","追客済み",IF(TODAY()&gt;=H107,"追客対象","初回送信済み")))))))</x:f>
      </x:c>
      <x:c r="M107" s="29" t="str">
        <x:f>IF(B107="","",IF(K107="はい","送信しない",IF(J107="成約","対応完了",IF(J107="返信あり","返信対応",IF(J107="検討中","状況確認",IF(J107="不要","対応終了",IF(G107="","初回メール",IF(I107&lt;&gt;"","追客完了",IF(TODAY()&gt;=H107,"追客メール","待機")))))))))</x:f>
      </x:c>
    </x:row>
    <x:row r="108">
      <x:c r="A108" s="29" t="str">
        <x:f>IF(B108="","",ROW()-4)</x:f>
      </x:c>
      <x:c r="B108" s="30"/>
      <x:c r="C108" s="30"/>
      <x:c r="D108" s="33"/>
      <x:c r="E108" s="33"/>
      <x:c r="F108" s="33"/>
      <x:c r="G108" s="31"/>
      <x:c r="H108" s="32" t="str">
        <x:f>IF(G108="","",G108+'設定・使い方'!$B$4)</x:f>
      </x:c>
      <x:c r="I108" s="31"/>
      <x:c r="J108" s="30" t="str">
        <x:v>未返信</x:v>
      </x:c>
      <x:c r="K108" s="30" t="str">
        <x:v>いいえ</x:v>
      </x:c>
      <x:c r="L108" s="29" t="str">
        <x:f>IF(B108="","",IF(K108="はい","送信禁止",IF(J108="成約","成約",IF(OR(J108="返信あり",J108="検討中",J108="不要"),"返信あり",IF(G108="","未送信",IF(I108&lt;&gt;"","追客済み",IF(TODAY()&gt;=H108,"追客対象","初回送信済み")))))))</x:f>
      </x:c>
      <x:c r="M108" s="29" t="str">
        <x:f>IF(B108="","",IF(K108="はい","送信しない",IF(J108="成約","対応完了",IF(J108="返信あり","返信対応",IF(J108="検討中","状況確認",IF(J108="不要","対応終了",IF(G108="","初回メール",IF(I108&lt;&gt;"","追客完了",IF(TODAY()&gt;=H108,"追客メール","待機")))))))))</x:f>
      </x:c>
    </x:row>
    <x:row r="109">
      <x:c r="A109" s="29" t="str">
        <x:f>IF(B109="","",ROW()-4)</x:f>
      </x:c>
      <x:c r="B109" s="30"/>
      <x:c r="C109" s="30"/>
      <x:c r="D109" s="33"/>
      <x:c r="E109" s="33"/>
      <x:c r="F109" s="33"/>
      <x:c r="G109" s="31"/>
      <x:c r="H109" s="32" t="str">
        <x:f>IF(G109="","",G109+'設定・使い方'!$B$4)</x:f>
      </x:c>
      <x:c r="I109" s="31"/>
      <x:c r="J109" s="30" t="str">
        <x:v>未返信</x:v>
      </x:c>
      <x:c r="K109" s="30" t="str">
        <x:v>いいえ</x:v>
      </x:c>
      <x:c r="L109" s="29" t="str">
        <x:f>IF(B109="","",IF(K109="はい","送信禁止",IF(J109="成約","成約",IF(OR(J109="返信あり",J109="検討中",J109="不要"),"返信あり",IF(G109="","未送信",IF(I109&lt;&gt;"","追客済み",IF(TODAY()&gt;=H109,"追客対象","初回送信済み")))))))</x:f>
      </x:c>
      <x:c r="M109" s="29" t="str">
        <x:f>IF(B109="","",IF(K109="はい","送信しない",IF(J109="成約","対応完了",IF(J109="返信あり","返信対応",IF(J109="検討中","状況確認",IF(J109="不要","対応終了",IF(G109="","初回メール",IF(I109&lt;&gt;"","追客完了",IF(TODAY()&gt;=H109,"追客メール","待機")))))))))</x:f>
      </x:c>
    </x:row>
    <x:row r="110">
      <x:c r="A110" s="29" t="str">
        <x:f>IF(B110="","",ROW()-4)</x:f>
      </x:c>
      <x:c r="B110" s="30"/>
      <x:c r="C110" s="30"/>
      <x:c r="D110" s="33"/>
      <x:c r="E110" s="33"/>
      <x:c r="F110" s="33"/>
      <x:c r="G110" s="31"/>
      <x:c r="H110" s="32" t="str">
        <x:f>IF(G110="","",G110+'設定・使い方'!$B$4)</x:f>
      </x:c>
      <x:c r="I110" s="31"/>
      <x:c r="J110" s="30" t="str">
        <x:v>未返信</x:v>
      </x:c>
      <x:c r="K110" s="30" t="str">
        <x:v>いいえ</x:v>
      </x:c>
      <x:c r="L110" s="29" t="str">
        <x:f>IF(B110="","",IF(K110="はい","送信禁止",IF(J110="成約","成約",IF(OR(J110="返信あり",J110="検討中",J110="不要"),"返信あり",IF(G110="","未送信",IF(I110&lt;&gt;"","追客済み",IF(TODAY()&gt;=H110,"追客対象","初回送信済み")))))))</x:f>
      </x:c>
      <x:c r="M110" s="29" t="str">
        <x:f>IF(B110="","",IF(K110="はい","送信しない",IF(J110="成約","対応完了",IF(J110="返信あり","返信対応",IF(J110="検討中","状況確認",IF(J110="不要","対応終了",IF(G110="","初回メール",IF(I110&lt;&gt;"","追客完了",IF(TODAY()&gt;=H110,"追客メール","待機")))))))))</x:f>
      </x:c>
    </x:row>
    <x:row r="111">
      <x:c r="A111" s="29" t="str">
        <x:f>IF(B111="","",ROW()-4)</x:f>
      </x:c>
      <x:c r="B111" s="30"/>
      <x:c r="C111" s="30"/>
      <x:c r="D111" s="33"/>
      <x:c r="E111" s="33"/>
      <x:c r="F111" s="33"/>
      <x:c r="G111" s="31"/>
      <x:c r="H111" s="32" t="str">
        <x:f>IF(G111="","",G111+'設定・使い方'!$B$4)</x:f>
      </x:c>
      <x:c r="I111" s="31"/>
      <x:c r="J111" s="30" t="str">
        <x:v>未返信</x:v>
      </x:c>
      <x:c r="K111" s="30" t="str">
        <x:v>いいえ</x:v>
      </x:c>
      <x:c r="L111" s="29" t="str">
        <x:f>IF(B111="","",IF(K111="はい","送信禁止",IF(J111="成約","成約",IF(OR(J111="返信あり",J111="検討中",J111="不要"),"返信あり",IF(G111="","未送信",IF(I111&lt;&gt;"","追客済み",IF(TODAY()&gt;=H111,"追客対象","初回送信済み")))))))</x:f>
      </x:c>
      <x:c r="M111" s="29" t="str">
        <x:f>IF(B111="","",IF(K111="はい","送信しない",IF(J111="成約","対応完了",IF(J111="返信あり","返信対応",IF(J111="検討中","状況確認",IF(J111="不要","対応終了",IF(G111="","初回メール",IF(I111&lt;&gt;"","追客完了",IF(TODAY()&gt;=H111,"追客メール","待機")))))))))</x:f>
      </x:c>
    </x:row>
    <x:row r="112">
      <x:c r="A112" s="29" t="str">
        <x:f>IF(B112="","",ROW()-4)</x:f>
      </x:c>
      <x:c r="B112" s="30"/>
      <x:c r="C112" s="30"/>
      <x:c r="D112" s="33"/>
      <x:c r="E112" s="33"/>
      <x:c r="F112" s="33"/>
      <x:c r="G112" s="31"/>
      <x:c r="H112" s="32" t="str">
        <x:f>IF(G112="","",G112+'設定・使い方'!$B$4)</x:f>
      </x:c>
      <x:c r="I112" s="31"/>
      <x:c r="J112" s="30" t="str">
        <x:v>未返信</x:v>
      </x:c>
      <x:c r="K112" s="30" t="str">
        <x:v>いいえ</x:v>
      </x:c>
      <x:c r="L112" s="29" t="str">
        <x:f>IF(B112="","",IF(K112="はい","送信禁止",IF(J112="成約","成約",IF(OR(J112="返信あり",J112="検討中",J112="不要"),"返信あり",IF(G112="","未送信",IF(I112&lt;&gt;"","追客済み",IF(TODAY()&gt;=H112,"追客対象","初回送信済み")))))))</x:f>
      </x:c>
      <x:c r="M112" s="29" t="str">
        <x:f>IF(B112="","",IF(K112="はい","送信しない",IF(J112="成約","対応完了",IF(J112="返信あり","返信対応",IF(J112="検討中","状況確認",IF(J112="不要","対応終了",IF(G112="","初回メール",IF(I112&lt;&gt;"","追客完了",IF(TODAY()&gt;=H112,"追客メール","待機")))))))))</x:f>
      </x:c>
    </x:row>
    <x:row r="113">
      <x:c r="A113" s="29" t="str">
        <x:f>IF(B113="","",ROW()-4)</x:f>
      </x:c>
      <x:c r="B113" s="30"/>
      <x:c r="C113" s="30"/>
      <x:c r="D113" s="33"/>
      <x:c r="E113" s="33"/>
      <x:c r="F113" s="33"/>
      <x:c r="G113" s="31"/>
      <x:c r="H113" s="32" t="str">
        <x:f>IF(G113="","",G113+'設定・使い方'!$B$4)</x:f>
      </x:c>
      <x:c r="I113" s="31"/>
      <x:c r="J113" s="30" t="str">
        <x:v>未返信</x:v>
      </x:c>
      <x:c r="K113" s="30" t="str">
        <x:v>いいえ</x:v>
      </x:c>
      <x:c r="L113" s="29" t="str">
        <x:f>IF(B113="","",IF(K113="はい","送信禁止",IF(J113="成約","成約",IF(OR(J113="返信あり",J113="検討中",J113="不要"),"返信あり",IF(G113="","未送信",IF(I113&lt;&gt;"","追客済み",IF(TODAY()&gt;=H113,"追客対象","初回送信済み")))))))</x:f>
      </x:c>
      <x:c r="M113" s="29" t="str">
        <x:f>IF(B113="","",IF(K113="はい","送信しない",IF(J113="成約","対応完了",IF(J113="返信あり","返信対応",IF(J113="検討中","状況確認",IF(J113="不要","対応終了",IF(G113="","初回メール",IF(I113&lt;&gt;"","追客完了",IF(TODAY()&gt;=H113,"追客メール","待機")))))))))</x:f>
      </x:c>
    </x:row>
    <x:row r="114">
      <x:c r="A114" s="29" t="str">
        <x:f>IF(B114="","",ROW()-4)</x:f>
      </x:c>
      <x:c r="B114" s="30"/>
      <x:c r="C114" s="30"/>
      <x:c r="D114" s="33"/>
      <x:c r="E114" s="33"/>
      <x:c r="F114" s="33"/>
      <x:c r="G114" s="31"/>
      <x:c r="H114" s="32" t="str">
        <x:f>IF(G114="","",G114+'設定・使い方'!$B$4)</x:f>
      </x:c>
      <x:c r="I114" s="31"/>
      <x:c r="J114" s="30" t="str">
        <x:v>未返信</x:v>
      </x:c>
      <x:c r="K114" s="30" t="str">
        <x:v>いいえ</x:v>
      </x:c>
      <x:c r="L114" s="29" t="str">
        <x:f>IF(B114="","",IF(K114="はい","送信禁止",IF(J114="成約","成約",IF(OR(J114="返信あり",J114="検討中",J114="不要"),"返信あり",IF(G114="","未送信",IF(I114&lt;&gt;"","追客済み",IF(TODAY()&gt;=H114,"追客対象","初回送信済み")))))))</x:f>
      </x:c>
      <x:c r="M114" s="29" t="str">
        <x:f>IF(B114="","",IF(K114="はい","送信しない",IF(J114="成約","対応完了",IF(J114="返信あり","返信対応",IF(J114="検討中","状況確認",IF(J114="不要","対応終了",IF(G114="","初回メール",IF(I114&lt;&gt;"","追客完了",IF(TODAY()&gt;=H114,"追客メール","待機")))))))))</x:f>
      </x:c>
    </x:row>
    <x:row r="115">
      <x:c r="A115" s="29" t="str">
        <x:f>IF(B115="","",ROW()-4)</x:f>
      </x:c>
      <x:c r="B115" s="30"/>
      <x:c r="C115" s="30"/>
      <x:c r="D115" s="33"/>
      <x:c r="E115" s="33"/>
      <x:c r="F115" s="33"/>
      <x:c r="G115" s="31"/>
      <x:c r="H115" s="32" t="str">
        <x:f>IF(G115="","",G115+'設定・使い方'!$B$4)</x:f>
      </x:c>
      <x:c r="I115" s="31"/>
      <x:c r="J115" s="30" t="str">
        <x:v>未返信</x:v>
      </x:c>
      <x:c r="K115" s="30" t="str">
        <x:v>いいえ</x:v>
      </x:c>
      <x:c r="L115" s="29" t="str">
        <x:f>IF(B115="","",IF(K115="はい","送信禁止",IF(J115="成約","成約",IF(OR(J115="返信あり",J115="検討中",J115="不要"),"返信あり",IF(G115="","未送信",IF(I115&lt;&gt;"","追客済み",IF(TODAY()&gt;=H115,"追客対象","初回送信済み")))))))</x:f>
      </x:c>
      <x:c r="M115" s="29" t="str">
        <x:f>IF(B115="","",IF(K115="はい","送信しない",IF(J115="成約","対応完了",IF(J115="返信あり","返信対応",IF(J115="検討中","状況確認",IF(J115="不要","対応終了",IF(G115="","初回メール",IF(I115&lt;&gt;"","追客完了",IF(TODAY()&gt;=H115,"追客メール","待機")))))))))</x:f>
      </x:c>
    </x:row>
    <x:row r="116">
      <x:c r="A116" s="29" t="str">
        <x:f>IF(B116="","",ROW()-4)</x:f>
      </x:c>
      <x:c r="B116" s="30"/>
      <x:c r="C116" s="30"/>
      <x:c r="D116" s="33"/>
      <x:c r="E116" s="33"/>
      <x:c r="F116" s="33"/>
      <x:c r="G116" s="31"/>
      <x:c r="H116" s="32" t="str">
        <x:f>IF(G116="","",G116+'設定・使い方'!$B$4)</x:f>
      </x:c>
      <x:c r="I116" s="31"/>
      <x:c r="J116" s="30" t="str">
        <x:v>未返信</x:v>
      </x:c>
      <x:c r="K116" s="30" t="str">
        <x:v>いいえ</x:v>
      </x:c>
      <x:c r="L116" s="29" t="str">
        <x:f>IF(B116="","",IF(K116="はい","送信禁止",IF(J116="成約","成約",IF(OR(J116="返信あり",J116="検討中",J116="不要"),"返信あり",IF(G116="","未送信",IF(I116&lt;&gt;"","追客済み",IF(TODAY()&gt;=H116,"追客対象","初回送信済み")))))))</x:f>
      </x:c>
      <x:c r="M116" s="29" t="str">
        <x:f>IF(B116="","",IF(K116="はい","送信しない",IF(J116="成約","対応完了",IF(J116="返信あり","返信対応",IF(J116="検討中","状況確認",IF(J116="不要","対応終了",IF(G116="","初回メール",IF(I116&lt;&gt;"","追客完了",IF(TODAY()&gt;=H116,"追客メール","待機")))))))))</x:f>
      </x:c>
    </x:row>
    <x:row r="117">
      <x:c r="A117" s="29" t="str">
        <x:f>IF(B117="","",ROW()-4)</x:f>
      </x:c>
      <x:c r="B117" s="30"/>
      <x:c r="C117" s="30"/>
      <x:c r="D117" s="33"/>
      <x:c r="E117" s="33"/>
      <x:c r="F117" s="33"/>
      <x:c r="G117" s="31"/>
      <x:c r="H117" s="32" t="str">
        <x:f>IF(G117="","",G117+'設定・使い方'!$B$4)</x:f>
      </x:c>
      <x:c r="I117" s="31"/>
      <x:c r="J117" s="30" t="str">
        <x:v>未返信</x:v>
      </x:c>
      <x:c r="K117" s="30" t="str">
        <x:v>いいえ</x:v>
      </x:c>
      <x:c r="L117" s="29" t="str">
        <x:f>IF(B117="","",IF(K117="はい","送信禁止",IF(J117="成約","成約",IF(OR(J117="返信あり",J117="検討中",J117="不要"),"返信あり",IF(G117="","未送信",IF(I117&lt;&gt;"","追客済み",IF(TODAY()&gt;=H117,"追客対象","初回送信済み")))))))</x:f>
      </x:c>
      <x:c r="M117" s="29" t="str">
        <x:f>IF(B117="","",IF(K117="はい","送信しない",IF(J117="成約","対応完了",IF(J117="返信あり","返信対応",IF(J117="検討中","状況確認",IF(J117="不要","対応終了",IF(G117="","初回メール",IF(I117&lt;&gt;"","追客完了",IF(TODAY()&gt;=H117,"追客メール","待機")))))))))</x:f>
      </x:c>
    </x:row>
    <x:row r="118">
      <x:c r="A118" s="29" t="str">
        <x:f>IF(B118="","",ROW()-4)</x:f>
      </x:c>
      <x:c r="B118" s="30"/>
      <x:c r="C118" s="30"/>
      <x:c r="D118" s="33"/>
      <x:c r="E118" s="33"/>
      <x:c r="F118" s="33"/>
      <x:c r="G118" s="31"/>
      <x:c r="H118" s="32" t="str">
        <x:f>IF(G118="","",G118+'設定・使い方'!$B$4)</x:f>
      </x:c>
      <x:c r="I118" s="31"/>
      <x:c r="J118" s="30" t="str">
        <x:v>未返信</x:v>
      </x:c>
      <x:c r="K118" s="30" t="str">
        <x:v>いいえ</x:v>
      </x:c>
      <x:c r="L118" s="29" t="str">
        <x:f>IF(B118="","",IF(K118="はい","送信禁止",IF(J118="成約","成約",IF(OR(J118="返信あり",J118="検討中",J118="不要"),"返信あり",IF(G118="","未送信",IF(I118&lt;&gt;"","追客済み",IF(TODAY()&gt;=H118,"追客対象","初回送信済み")))))))</x:f>
      </x:c>
      <x:c r="M118" s="29" t="str">
        <x:f>IF(B118="","",IF(K118="はい","送信しない",IF(J118="成約","対応完了",IF(J118="返信あり","返信対応",IF(J118="検討中","状況確認",IF(J118="不要","対応終了",IF(G118="","初回メール",IF(I118&lt;&gt;"","追客完了",IF(TODAY()&gt;=H118,"追客メール","待機")))))))))</x:f>
      </x:c>
    </x:row>
    <x:row r="119">
      <x:c r="A119" s="29" t="str">
        <x:f>IF(B119="","",ROW()-4)</x:f>
      </x:c>
      <x:c r="B119" s="30"/>
      <x:c r="C119" s="30"/>
      <x:c r="D119" s="33"/>
      <x:c r="E119" s="33"/>
      <x:c r="F119" s="33"/>
      <x:c r="G119" s="31"/>
      <x:c r="H119" s="32" t="str">
        <x:f>IF(G119="","",G119+'設定・使い方'!$B$4)</x:f>
      </x:c>
      <x:c r="I119" s="31"/>
      <x:c r="J119" s="30" t="str">
        <x:v>未返信</x:v>
      </x:c>
      <x:c r="K119" s="30" t="str">
        <x:v>いいえ</x:v>
      </x:c>
      <x:c r="L119" s="29" t="str">
        <x:f>IF(B119="","",IF(K119="はい","送信禁止",IF(J119="成約","成約",IF(OR(J119="返信あり",J119="検討中",J119="不要"),"返信あり",IF(G119="","未送信",IF(I119&lt;&gt;"","追客済み",IF(TODAY()&gt;=H119,"追客対象","初回送信済み")))))))</x:f>
      </x:c>
      <x:c r="M119" s="29" t="str">
        <x:f>IF(B119="","",IF(K119="はい","送信しない",IF(J119="成約","対応完了",IF(J119="返信あり","返信対応",IF(J119="検討中","状況確認",IF(J119="不要","対応終了",IF(G119="","初回メール",IF(I119&lt;&gt;"","追客完了",IF(TODAY()&gt;=H119,"追客メール","待機")))))))))</x:f>
      </x:c>
    </x:row>
    <x:row r="120">
      <x:c r="A120" s="29" t="str">
        <x:f>IF(B120="","",ROW()-4)</x:f>
      </x:c>
      <x:c r="B120" s="30"/>
      <x:c r="C120" s="30"/>
      <x:c r="D120" s="33"/>
      <x:c r="E120" s="33"/>
      <x:c r="F120" s="33"/>
      <x:c r="G120" s="31"/>
      <x:c r="H120" s="32" t="str">
        <x:f>IF(G120="","",G120+'設定・使い方'!$B$4)</x:f>
      </x:c>
      <x:c r="I120" s="31"/>
      <x:c r="J120" s="30" t="str">
        <x:v>未返信</x:v>
      </x:c>
      <x:c r="K120" s="30" t="str">
        <x:v>いいえ</x:v>
      </x:c>
      <x:c r="L120" s="29" t="str">
        <x:f>IF(B120="","",IF(K120="はい","送信禁止",IF(J120="成約","成約",IF(OR(J120="返信あり",J120="検討中",J120="不要"),"返信あり",IF(G120="","未送信",IF(I120&lt;&gt;"","追客済み",IF(TODAY()&gt;=H120,"追客対象","初回送信済み")))))))</x:f>
      </x:c>
      <x:c r="M120" s="29" t="str">
        <x:f>IF(B120="","",IF(K120="はい","送信しない",IF(J120="成約","対応完了",IF(J120="返信あり","返信対応",IF(J120="検討中","状況確認",IF(J120="不要","対応終了",IF(G120="","初回メール",IF(I120&lt;&gt;"","追客完了",IF(TODAY()&gt;=H120,"追客メール","待機")))))))))</x:f>
      </x:c>
    </x:row>
    <x:row r="121">
      <x:c r="A121" s="29" t="str">
        <x:f>IF(B121="","",ROW()-4)</x:f>
      </x:c>
      <x:c r="B121" s="30"/>
      <x:c r="C121" s="30"/>
      <x:c r="D121" s="33"/>
      <x:c r="E121" s="33"/>
      <x:c r="F121" s="33"/>
      <x:c r="G121" s="31"/>
      <x:c r="H121" s="32" t="str">
        <x:f>IF(G121="","",G121+'設定・使い方'!$B$4)</x:f>
      </x:c>
      <x:c r="I121" s="31"/>
      <x:c r="J121" s="30" t="str">
        <x:v>未返信</x:v>
      </x:c>
      <x:c r="K121" s="30" t="str">
        <x:v>いいえ</x:v>
      </x:c>
      <x:c r="L121" s="29" t="str">
        <x:f>IF(B121="","",IF(K121="はい","送信禁止",IF(J121="成約","成約",IF(OR(J121="返信あり",J121="検討中",J121="不要"),"返信あり",IF(G121="","未送信",IF(I121&lt;&gt;"","追客済み",IF(TODAY()&gt;=H121,"追客対象","初回送信済み")))))))</x:f>
      </x:c>
      <x:c r="M121" s="29" t="str">
        <x:f>IF(B121="","",IF(K121="はい","送信しない",IF(J121="成約","対応完了",IF(J121="返信あり","返信対応",IF(J121="検討中","状況確認",IF(J121="不要","対応終了",IF(G121="","初回メール",IF(I121&lt;&gt;"","追客完了",IF(TODAY()&gt;=H121,"追客メール","待機")))))))))</x:f>
      </x:c>
    </x:row>
    <x:row r="122">
      <x:c r="A122" s="29" t="str">
        <x:f>IF(B122="","",ROW()-4)</x:f>
      </x:c>
      <x:c r="B122" s="30"/>
      <x:c r="C122" s="30"/>
      <x:c r="D122" s="33"/>
      <x:c r="E122" s="33"/>
      <x:c r="F122" s="33"/>
      <x:c r="G122" s="31"/>
      <x:c r="H122" s="32" t="str">
        <x:f>IF(G122="","",G122+'設定・使い方'!$B$4)</x:f>
      </x:c>
      <x:c r="I122" s="31"/>
      <x:c r="J122" s="30" t="str">
        <x:v>未返信</x:v>
      </x:c>
      <x:c r="K122" s="30" t="str">
        <x:v>いいえ</x:v>
      </x:c>
      <x:c r="L122" s="29" t="str">
        <x:f>IF(B122="","",IF(K122="はい","送信禁止",IF(J122="成約","成約",IF(OR(J122="返信あり",J122="検討中",J122="不要"),"返信あり",IF(G122="","未送信",IF(I122&lt;&gt;"","追客済み",IF(TODAY()&gt;=H122,"追客対象","初回送信済み")))))))</x:f>
      </x:c>
      <x:c r="M122" s="29" t="str">
        <x:f>IF(B122="","",IF(K122="はい","送信しない",IF(J122="成約","対応完了",IF(J122="返信あり","返信対応",IF(J122="検討中","状況確認",IF(J122="不要","対応終了",IF(G122="","初回メール",IF(I122&lt;&gt;"","追客完了",IF(TODAY()&gt;=H122,"追客メール","待機")))))))))</x:f>
      </x:c>
    </x:row>
    <x:row r="123">
      <x:c r="A123" s="29" t="str">
        <x:f>IF(B123="","",ROW()-4)</x:f>
      </x:c>
      <x:c r="B123" s="30"/>
      <x:c r="C123" s="30"/>
      <x:c r="D123" s="33"/>
      <x:c r="E123" s="33"/>
      <x:c r="F123" s="33"/>
      <x:c r="G123" s="31"/>
      <x:c r="H123" s="32" t="str">
        <x:f>IF(G123="","",G123+'設定・使い方'!$B$4)</x:f>
      </x:c>
      <x:c r="I123" s="31"/>
      <x:c r="J123" s="30" t="str">
        <x:v>未返信</x:v>
      </x:c>
      <x:c r="K123" s="30" t="str">
        <x:v>いいえ</x:v>
      </x:c>
      <x:c r="L123" s="29" t="str">
        <x:f>IF(B123="","",IF(K123="はい","送信禁止",IF(J123="成約","成約",IF(OR(J123="返信あり",J123="検討中",J123="不要"),"返信あり",IF(G123="","未送信",IF(I123&lt;&gt;"","追客済み",IF(TODAY()&gt;=H123,"追客対象","初回送信済み")))))))</x:f>
      </x:c>
      <x:c r="M123" s="29" t="str">
        <x:f>IF(B123="","",IF(K123="はい","送信しない",IF(J123="成約","対応完了",IF(J123="返信あり","返信対応",IF(J123="検討中","状況確認",IF(J123="不要","対応終了",IF(G123="","初回メール",IF(I123&lt;&gt;"","追客完了",IF(TODAY()&gt;=H123,"追客メール","待機")))))))))</x:f>
      </x:c>
    </x:row>
    <x:row r="124">
      <x:c r="A124" s="29" t="str">
        <x:f>IF(B124="","",ROW()-4)</x:f>
      </x:c>
      <x:c r="B124" s="30"/>
      <x:c r="C124" s="30"/>
      <x:c r="D124" s="33"/>
      <x:c r="E124" s="33"/>
      <x:c r="F124" s="33"/>
      <x:c r="G124" s="31"/>
      <x:c r="H124" s="32" t="str">
        <x:f>IF(G124="","",G124+'設定・使い方'!$B$4)</x:f>
      </x:c>
      <x:c r="I124" s="31"/>
      <x:c r="J124" s="30" t="str">
        <x:v>未返信</x:v>
      </x:c>
      <x:c r="K124" s="30" t="str">
        <x:v>いいえ</x:v>
      </x:c>
      <x:c r="L124" s="29" t="str">
        <x:f>IF(B124="","",IF(K124="はい","送信禁止",IF(J124="成約","成約",IF(OR(J124="返信あり",J124="検討中",J124="不要"),"返信あり",IF(G124="","未送信",IF(I124&lt;&gt;"","追客済み",IF(TODAY()&gt;=H124,"追客対象","初回送信済み")))))))</x:f>
      </x:c>
      <x:c r="M124" s="29" t="str">
        <x:f>IF(B124="","",IF(K124="はい","送信しない",IF(J124="成約","対応完了",IF(J124="返信あり","返信対応",IF(J124="検討中","状況確認",IF(J124="不要","対応終了",IF(G124="","初回メール",IF(I124&lt;&gt;"","追客完了",IF(TODAY()&gt;=H124,"追客メール","待機")))))))))</x:f>
      </x:c>
    </x:row>
    <x:row r="125">
      <x:c r="A125" s="29" t="str">
        <x:f>IF(B125="","",ROW()-4)</x:f>
      </x:c>
      <x:c r="B125" s="30"/>
      <x:c r="C125" s="30"/>
      <x:c r="D125" s="33"/>
      <x:c r="E125" s="33"/>
      <x:c r="F125" s="33"/>
      <x:c r="G125" s="31"/>
      <x:c r="H125" s="32" t="str">
        <x:f>IF(G125="","",G125+'設定・使い方'!$B$4)</x:f>
      </x:c>
      <x:c r="I125" s="31"/>
      <x:c r="J125" s="30" t="str">
        <x:v>未返信</x:v>
      </x:c>
      <x:c r="K125" s="30" t="str">
        <x:v>いいえ</x:v>
      </x:c>
      <x:c r="L125" s="29" t="str">
        <x:f>IF(B125="","",IF(K125="はい","送信禁止",IF(J125="成約","成約",IF(OR(J125="返信あり",J125="検討中",J125="不要"),"返信あり",IF(G125="","未送信",IF(I125&lt;&gt;"","追客済み",IF(TODAY()&gt;=H125,"追客対象","初回送信済み")))))))</x:f>
      </x:c>
      <x:c r="M125" s="29" t="str">
        <x:f>IF(B125="","",IF(K125="はい","送信しない",IF(J125="成約","対応完了",IF(J125="返信あり","返信対応",IF(J125="検討中","状況確認",IF(J125="不要","対応終了",IF(G125="","初回メール",IF(I125&lt;&gt;"","追客完了",IF(TODAY()&gt;=H125,"追客メール","待機")))))))))</x:f>
      </x:c>
    </x:row>
    <x:row r="126">
      <x:c r="A126" s="29" t="str">
        <x:f>IF(B126="","",ROW()-4)</x:f>
      </x:c>
      <x:c r="B126" s="30"/>
      <x:c r="C126" s="30"/>
      <x:c r="D126" s="33"/>
      <x:c r="E126" s="33"/>
      <x:c r="F126" s="33"/>
      <x:c r="G126" s="31"/>
      <x:c r="H126" s="32" t="str">
        <x:f>IF(G126="","",G126+'設定・使い方'!$B$4)</x:f>
      </x:c>
      <x:c r="I126" s="31"/>
      <x:c r="J126" s="30" t="str">
        <x:v>未返信</x:v>
      </x:c>
      <x:c r="K126" s="30" t="str">
        <x:v>いいえ</x:v>
      </x:c>
      <x:c r="L126" s="29" t="str">
        <x:f>IF(B126="","",IF(K126="はい","送信禁止",IF(J126="成約","成約",IF(OR(J126="返信あり",J126="検討中",J126="不要"),"返信あり",IF(G126="","未送信",IF(I126&lt;&gt;"","追客済み",IF(TODAY()&gt;=H126,"追客対象","初回送信済み")))))))</x:f>
      </x:c>
      <x:c r="M126" s="29" t="str">
        <x:f>IF(B126="","",IF(K126="はい","送信しない",IF(J126="成約","対応完了",IF(J126="返信あり","返信対応",IF(J126="検討中","状況確認",IF(J126="不要","対応終了",IF(G126="","初回メール",IF(I126&lt;&gt;"","追客完了",IF(TODAY()&gt;=H126,"追客メール","待機")))))))))</x:f>
      </x:c>
    </x:row>
    <x:row r="127">
      <x:c r="A127" s="29" t="str">
        <x:f>IF(B127="","",ROW()-4)</x:f>
      </x:c>
      <x:c r="B127" s="30"/>
      <x:c r="C127" s="30"/>
      <x:c r="D127" s="33"/>
      <x:c r="E127" s="33"/>
      <x:c r="F127" s="33"/>
      <x:c r="G127" s="31"/>
      <x:c r="H127" s="32" t="str">
        <x:f>IF(G127="","",G127+'設定・使い方'!$B$4)</x:f>
      </x:c>
      <x:c r="I127" s="31"/>
      <x:c r="J127" s="30" t="str">
        <x:v>未返信</x:v>
      </x:c>
      <x:c r="K127" s="30" t="str">
        <x:v>いいえ</x:v>
      </x:c>
      <x:c r="L127" s="29" t="str">
        <x:f>IF(B127="","",IF(K127="はい","送信禁止",IF(J127="成約","成約",IF(OR(J127="返信あり",J127="検討中",J127="不要"),"返信あり",IF(G127="","未送信",IF(I127&lt;&gt;"","追客済み",IF(TODAY()&gt;=H127,"追客対象","初回送信済み")))))))</x:f>
      </x:c>
      <x:c r="M127" s="29" t="str">
        <x:f>IF(B127="","",IF(K127="はい","送信しない",IF(J127="成約","対応完了",IF(J127="返信あり","返信対応",IF(J127="検討中","状況確認",IF(J127="不要","対応終了",IF(G127="","初回メール",IF(I127&lt;&gt;"","追客完了",IF(TODAY()&gt;=H127,"追客メール","待機")))))))))</x:f>
      </x:c>
    </x:row>
    <x:row r="128">
      <x:c r="A128" s="29" t="str">
        <x:f>IF(B128="","",ROW()-4)</x:f>
      </x:c>
      <x:c r="B128" s="30"/>
      <x:c r="C128" s="30"/>
      <x:c r="D128" s="33"/>
      <x:c r="E128" s="33"/>
      <x:c r="F128" s="33"/>
      <x:c r="G128" s="31"/>
      <x:c r="H128" s="32" t="str">
        <x:f>IF(G128="","",G128+'設定・使い方'!$B$4)</x:f>
      </x:c>
      <x:c r="I128" s="31"/>
      <x:c r="J128" s="30" t="str">
        <x:v>未返信</x:v>
      </x:c>
      <x:c r="K128" s="30" t="str">
        <x:v>いいえ</x:v>
      </x:c>
      <x:c r="L128" s="29" t="str">
        <x:f>IF(B128="","",IF(K128="はい","送信禁止",IF(J128="成約","成約",IF(OR(J128="返信あり",J128="検討中",J128="不要"),"返信あり",IF(G128="","未送信",IF(I128&lt;&gt;"","追客済み",IF(TODAY()&gt;=H128,"追客対象","初回送信済み")))))))</x:f>
      </x:c>
      <x:c r="M128" s="29" t="str">
        <x:f>IF(B128="","",IF(K128="はい","送信しない",IF(J128="成約","対応完了",IF(J128="返信あり","返信対応",IF(J128="検討中","状況確認",IF(J128="不要","対応終了",IF(G128="","初回メール",IF(I128&lt;&gt;"","追客完了",IF(TODAY()&gt;=H128,"追客メール","待機")))))))))</x:f>
      </x:c>
    </x:row>
    <x:row r="129">
      <x:c r="A129" s="29" t="str">
        <x:f>IF(B129="","",ROW()-4)</x:f>
      </x:c>
      <x:c r="B129" s="30"/>
      <x:c r="C129" s="30"/>
      <x:c r="D129" s="33"/>
      <x:c r="E129" s="33"/>
      <x:c r="F129" s="33"/>
      <x:c r="G129" s="31"/>
      <x:c r="H129" s="32" t="str">
        <x:f>IF(G129="","",G129+'設定・使い方'!$B$4)</x:f>
      </x:c>
      <x:c r="I129" s="31"/>
      <x:c r="J129" s="30" t="str">
        <x:v>未返信</x:v>
      </x:c>
      <x:c r="K129" s="30" t="str">
        <x:v>いいえ</x:v>
      </x:c>
      <x:c r="L129" s="29" t="str">
        <x:f>IF(B129="","",IF(K129="はい","送信禁止",IF(J129="成約","成約",IF(OR(J129="返信あり",J129="検討中",J129="不要"),"返信あり",IF(G129="","未送信",IF(I129&lt;&gt;"","追客済み",IF(TODAY()&gt;=H129,"追客対象","初回送信済み")))))))</x:f>
      </x:c>
      <x:c r="M129" s="29" t="str">
        <x:f>IF(B129="","",IF(K129="はい","送信しない",IF(J129="成約","対応完了",IF(J129="返信あり","返信対応",IF(J129="検討中","状況確認",IF(J129="不要","対応終了",IF(G129="","初回メール",IF(I129&lt;&gt;"","追客完了",IF(TODAY()&gt;=H129,"追客メール","待機")))))))))</x:f>
      </x:c>
    </x:row>
    <x:row r="130">
      <x:c r="A130" s="29" t="str">
        <x:f>IF(B130="","",ROW()-4)</x:f>
      </x:c>
      <x:c r="B130" s="30"/>
      <x:c r="C130" s="30"/>
      <x:c r="D130" s="33"/>
      <x:c r="E130" s="33"/>
      <x:c r="F130" s="33"/>
      <x:c r="G130" s="31"/>
      <x:c r="H130" s="32" t="str">
        <x:f>IF(G130="","",G130+'設定・使い方'!$B$4)</x:f>
      </x:c>
      <x:c r="I130" s="31"/>
      <x:c r="J130" s="30" t="str">
        <x:v>未返信</x:v>
      </x:c>
      <x:c r="K130" s="30" t="str">
        <x:v>いいえ</x:v>
      </x:c>
      <x:c r="L130" s="29" t="str">
        <x:f>IF(B130="","",IF(K130="はい","送信禁止",IF(J130="成約","成約",IF(OR(J130="返信あり",J130="検討中",J130="不要"),"返信あり",IF(G130="","未送信",IF(I130&lt;&gt;"","追客済み",IF(TODAY()&gt;=H130,"追客対象","初回送信済み")))))))</x:f>
      </x:c>
      <x:c r="M130" s="29" t="str">
        <x:f>IF(B130="","",IF(K130="はい","送信しない",IF(J130="成約","対応完了",IF(J130="返信あり","返信対応",IF(J130="検討中","状況確認",IF(J130="不要","対応終了",IF(G130="","初回メール",IF(I130&lt;&gt;"","追客完了",IF(TODAY()&gt;=H130,"追客メール","待機")))))))))</x:f>
      </x:c>
    </x:row>
    <x:row r="131">
      <x:c r="A131" s="29" t="str">
        <x:f>IF(B131="","",ROW()-4)</x:f>
      </x:c>
      <x:c r="B131" s="30"/>
      <x:c r="C131" s="30"/>
      <x:c r="D131" s="33"/>
      <x:c r="E131" s="33"/>
      <x:c r="F131" s="33"/>
      <x:c r="G131" s="31"/>
      <x:c r="H131" s="32" t="str">
        <x:f>IF(G131="","",G131+'設定・使い方'!$B$4)</x:f>
      </x:c>
      <x:c r="I131" s="31"/>
      <x:c r="J131" s="30" t="str">
        <x:v>未返信</x:v>
      </x:c>
      <x:c r="K131" s="30" t="str">
        <x:v>いいえ</x:v>
      </x:c>
      <x:c r="L131" s="29" t="str">
        <x:f>IF(B131="","",IF(K131="はい","送信禁止",IF(J131="成約","成約",IF(OR(J131="返信あり",J131="検討中",J131="不要"),"返信あり",IF(G131="","未送信",IF(I131&lt;&gt;"","追客済み",IF(TODAY()&gt;=H131,"追客対象","初回送信済み")))))))</x:f>
      </x:c>
      <x:c r="M131" s="29" t="str">
        <x:f>IF(B131="","",IF(K131="はい","送信しない",IF(J131="成約","対応完了",IF(J131="返信あり","返信対応",IF(J131="検討中","状況確認",IF(J131="不要","対応終了",IF(G131="","初回メール",IF(I131&lt;&gt;"","追客完了",IF(TODAY()&gt;=H131,"追客メール","待機")))))))))</x:f>
      </x:c>
    </x:row>
    <x:row r="132">
      <x:c r="A132" s="29" t="str">
        <x:f>IF(B132="","",ROW()-4)</x:f>
      </x:c>
      <x:c r="B132" s="30"/>
      <x:c r="C132" s="30"/>
      <x:c r="D132" s="33"/>
      <x:c r="E132" s="33"/>
      <x:c r="F132" s="33"/>
      <x:c r="G132" s="31"/>
      <x:c r="H132" s="32" t="str">
        <x:f>IF(G132="","",G132+'設定・使い方'!$B$4)</x:f>
      </x:c>
      <x:c r="I132" s="31"/>
      <x:c r="J132" s="30" t="str">
        <x:v>未返信</x:v>
      </x:c>
      <x:c r="K132" s="30" t="str">
        <x:v>いいえ</x:v>
      </x:c>
      <x:c r="L132" s="29" t="str">
        <x:f>IF(B132="","",IF(K132="はい","送信禁止",IF(J132="成約","成約",IF(OR(J132="返信あり",J132="検討中",J132="不要"),"返信あり",IF(G132="","未送信",IF(I132&lt;&gt;"","追客済み",IF(TODAY()&gt;=H132,"追客対象","初回送信済み")))))))</x:f>
      </x:c>
      <x:c r="M132" s="29" t="str">
        <x:f>IF(B132="","",IF(K132="はい","送信しない",IF(J132="成約","対応完了",IF(J132="返信あり","返信対応",IF(J132="検討中","状況確認",IF(J132="不要","対応終了",IF(G132="","初回メール",IF(I132&lt;&gt;"","追客完了",IF(TODAY()&gt;=H132,"追客メール","待機")))))))))</x:f>
      </x:c>
    </x:row>
    <x:row r="133">
      <x:c r="A133" s="29" t="str">
        <x:f>IF(B133="","",ROW()-4)</x:f>
      </x:c>
      <x:c r="B133" s="30"/>
      <x:c r="C133" s="30"/>
      <x:c r="D133" s="33"/>
      <x:c r="E133" s="33"/>
      <x:c r="F133" s="33"/>
      <x:c r="G133" s="31"/>
      <x:c r="H133" s="32" t="str">
        <x:f>IF(G133="","",G133+'設定・使い方'!$B$4)</x:f>
      </x:c>
      <x:c r="I133" s="31"/>
      <x:c r="J133" s="30" t="str">
        <x:v>未返信</x:v>
      </x:c>
      <x:c r="K133" s="30" t="str">
        <x:v>いいえ</x:v>
      </x:c>
      <x:c r="L133" s="29" t="str">
        <x:f>IF(B133="","",IF(K133="はい","送信禁止",IF(J133="成約","成約",IF(OR(J133="返信あり",J133="検討中",J133="不要"),"返信あり",IF(G133="","未送信",IF(I133&lt;&gt;"","追客済み",IF(TODAY()&gt;=H133,"追客対象","初回送信済み")))))))</x:f>
      </x:c>
      <x:c r="M133" s="29" t="str">
        <x:f>IF(B133="","",IF(K133="はい","送信しない",IF(J133="成約","対応完了",IF(J133="返信あり","返信対応",IF(J133="検討中","状況確認",IF(J133="不要","対応終了",IF(G133="","初回メール",IF(I133&lt;&gt;"","追客完了",IF(TODAY()&gt;=H133,"追客メール","待機")))))))))</x:f>
      </x:c>
    </x:row>
    <x:row r="134">
      <x:c r="A134" s="29" t="str">
        <x:f>IF(B134="","",ROW()-4)</x:f>
      </x:c>
      <x:c r="B134" s="30"/>
      <x:c r="C134" s="30"/>
      <x:c r="D134" s="33"/>
      <x:c r="E134" s="33"/>
      <x:c r="F134" s="33"/>
      <x:c r="G134" s="31"/>
      <x:c r="H134" s="32" t="str">
        <x:f>IF(G134="","",G134+'設定・使い方'!$B$4)</x:f>
      </x:c>
      <x:c r="I134" s="31"/>
      <x:c r="J134" s="30" t="str">
        <x:v>未返信</x:v>
      </x:c>
      <x:c r="K134" s="30" t="str">
        <x:v>いいえ</x:v>
      </x:c>
      <x:c r="L134" s="29" t="str">
        <x:f>IF(B134="","",IF(K134="はい","送信禁止",IF(J134="成約","成約",IF(OR(J134="返信あり",J134="検討中",J134="不要"),"返信あり",IF(G134="","未送信",IF(I134&lt;&gt;"","追客済み",IF(TODAY()&gt;=H134,"追客対象","初回送信済み")))))))</x:f>
      </x:c>
      <x:c r="M134" s="29" t="str">
        <x:f>IF(B134="","",IF(K134="はい","送信しない",IF(J134="成約","対応完了",IF(J134="返信あり","返信対応",IF(J134="検討中","状況確認",IF(J134="不要","対応終了",IF(G134="","初回メール",IF(I134&lt;&gt;"","追客完了",IF(TODAY()&gt;=H134,"追客メール","待機")))))))))</x:f>
      </x:c>
    </x:row>
    <x:row r="135">
      <x:c r="A135" s="29" t="str">
        <x:f>IF(B135="","",ROW()-4)</x:f>
      </x:c>
      <x:c r="B135" s="30"/>
      <x:c r="C135" s="30"/>
      <x:c r="D135" s="33"/>
      <x:c r="E135" s="33"/>
      <x:c r="F135" s="33"/>
      <x:c r="G135" s="31"/>
      <x:c r="H135" s="32" t="str">
        <x:f>IF(G135="","",G135+'設定・使い方'!$B$4)</x:f>
      </x:c>
      <x:c r="I135" s="31"/>
      <x:c r="J135" s="30" t="str">
        <x:v>未返信</x:v>
      </x:c>
      <x:c r="K135" s="30" t="str">
        <x:v>いいえ</x:v>
      </x:c>
      <x:c r="L135" s="29" t="str">
        <x:f>IF(B135="","",IF(K135="はい","送信禁止",IF(J135="成約","成約",IF(OR(J135="返信あり",J135="検討中",J135="不要"),"返信あり",IF(G135="","未送信",IF(I135&lt;&gt;"","追客済み",IF(TODAY()&gt;=H135,"追客対象","初回送信済み")))))))</x:f>
      </x:c>
      <x:c r="M135" s="29" t="str">
        <x:f>IF(B135="","",IF(K135="はい","送信しない",IF(J135="成約","対応完了",IF(J135="返信あり","返信対応",IF(J135="検討中","状況確認",IF(J135="不要","対応終了",IF(G135="","初回メール",IF(I135&lt;&gt;"","追客完了",IF(TODAY()&gt;=H135,"追客メール","待機")))))))))</x:f>
      </x:c>
    </x:row>
    <x:row r="136">
      <x:c r="A136" s="29" t="str">
        <x:f>IF(B136="","",ROW()-4)</x:f>
      </x:c>
      <x:c r="B136" s="30"/>
      <x:c r="C136" s="30"/>
      <x:c r="D136" s="33"/>
      <x:c r="E136" s="33"/>
      <x:c r="F136" s="33"/>
      <x:c r="G136" s="31"/>
      <x:c r="H136" s="32" t="str">
        <x:f>IF(G136="","",G136+'設定・使い方'!$B$4)</x:f>
      </x:c>
      <x:c r="I136" s="31"/>
      <x:c r="J136" s="30" t="str">
        <x:v>未返信</x:v>
      </x:c>
      <x:c r="K136" s="30" t="str">
        <x:v>いいえ</x:v>
      </x:c>
      <x:c r="L136" s="29" t="str">
        <x:f>IF(B136="","",IF(K136="はい","送信禁止",IF(J136="成約","成約",IF(OR(J136="返信あり",J136="検討中",J136="不要"),"返信あり",IF(G136="","未送信",IF(I136&lt;&gt;"","追客済み",IF(TODAY()&gt;=H136,"追客対象","初回送信済み")))))))</x:f>
      </x:c>
      <x:c r="M136" s="29" t="str">
        <x:f>IF(B136="","",IF(K136="はい","送信しない",IF(J136="成約","対応完了",IF(J136="返信あり","返信対応",IF(J136="検討中","状況確認",IF(J136="不要","対応終了",IF(G136="","初回メール",IF(I136&lt;&gt;"","追客完了",IF(TODAY()&gt;=H136,"追客メール","待機")))))))))</x:f>
      </x:c>
    </x:row>
    <x:row r="137">
      <x:c r="A137" s="29" t="str">
        <x:f>IF(B137="","",ROW()-4)</x:f>
      </x:c>
      <x:c r="B137" s="30"/>
      <x:c r="C137" s="30"/>
      <x:c r="D137" s="33"/>
      <x:c r="E137" s="33"/>
      <x:c r="F137" s="33"/>
      <x:c r="G137" s="31"/>
      <x:c r="H137" s="32" t="str">
        <x:f>IF(G137="","",G137+'設定・使い方'!$B$4)</x:f>
      </x:c>
      <x:c r="I137" s="31"/>
      <x:c r="J137" s="30" t="str">
        <x:v>未返信</x:v>
      </x:c>
      <x:c r="K137" s="30" t="str">
        <x:v>いいえ</x:v>
      </x:c>
      <x:c r="L137" s="29" t="str">
        <x:f>IF(B137="","",IF(K137="はい","送信禁止",IF(J137="成約","成約",IF(OR(J137="返信あり",J137="検討中",J137="不要"),"返信あり",IF(G137="","未送信",IF(I137&lt;&gt;"","追客済み",IF(TODAY()&gt;=H137,"追客対象","初回送信済み")))))))</x:f>
      </x:c>
      <x:c r="M137" s="29" t="str">
        <x:f>IF(B137="","",IF(K137="はい","送信しない",IF(J137="成約","対応完了",IF(J137="返信あり","返信対応",IF(J137="検討中","状況確認",IF(J137="不要","対応終了",IF(G137="","初回メール",IF(I137&lt;&gt;"","追客完了",IF(TODAY()&gt;=H137,"追客メール","待機")))))))))</x:f>
      </x:c>
    </x:row>
    <x:row r="138">
      <x:c r="A138" s="29" t="str">
        <x:f>IF(B138="","",ROW()-4)</x:f>
      </x:c>
      <x:c r="B138" s="30"/>
      <x:c r="C138" s="30"/>
      <x:c r="D138" s="33"/>
      <x:c r="E138" s="33"/>
      <x:c r="F138" s="33"/>
      <x:c r="G138" s="31"/>
      <x:c r="H138" s="32" t="str">
        <x:f>IF(G138="","",G138+'設定・使い方'!$B$4)</x:f>
      </x:c>
      <x:c r="I138" s="31"/>
      <x:c r="J138" s="30" t="str">
        <x:v>未返信</x:v>
      </x:c>
      <x:c r="K138" s="30" t="str">
        <x:v>いいえ</x:v>
      </x:c>
      <x:c r="L138" s="29" t="str">
        <x:f>IF(B138="","",IF(K138="はい","送信禁止",IF(J138="成約","成約",IF(OR(J138="返信あり",J138="検討中",J138="不要"),"返信あり",IF(G138="","未送信",IF(I138&lt;&gt;"","追客済み",IF(TODAY()&gt;=H138,"追客対象","初回送信済み")))))))</x:f>
      </x:c>
      <x:c r="M138" s="29" t="str">
        <x:f>IF(B138="","",IF(K138="はい","送信しない",IF(J138="成約","対応完了",IF(J138="返信あり","返信対応",IF(J138="検討中","状況確認",IF(J138="不要","対応終了",IF(G138="","初回メール",IF(I138&lt;&gt;"","追客完了",IF(TODAY()&gt;=H138,"追客メール","待機")))))))))</x:f>
      </x:c>
    </x:row>
    <x:row r="139">
      <x:c r="A139" s="29" t="str">
        <x:f>IF(B139="","",ROW()-4)</x:f>
      </x:c>
      <x:c r="B139" s="30"/>
      <x:c r="C139" s="30"/>
      <x:c r="D139" s="33"/>
      <x:c r="E139" s="33"/>
      <x:c r="F139" s="33"/>
      <x:c r="G139" s="31"/>
      <x:c r="H139" s="32" t="str">
        <x:f>IF(G139="","",G139+'設定・使い方'!$B$4)</x:f>
      </x:c>
      <x:c r="I139" s="31"/>
      <x:c r="J139" s="30" t="str">
        <x:v>未返信</x:v>
      </x:c>
      <x:c r="K139" s="30" t="str">
        <x:v>いいえ</x:v>
      </x:c>
      <x:c r="L139" s="29" t="str">
        <x:f>IF(B139="","",IF(K139="はい","送信禁止",IF(J139="成約","成約",IF(OR(J139="返信あり",J139="検討中",J139="不要"),"返信あり",IF(G139="","未送信",IF(I139&lt;&gt;"","追客済み",IF(TODAY()&gt;=H139,"追客対象","初回送信済み")))))))</x:f>
      </x:c>
      <x:c r="M139" s="29" t="str">
        <x:f>IF(B139="","",IF(K139="はい","送信しない",IF(J139="成約","対応完了",IF(J139="返信あり","返信対応",IF(J139="検討中","状況確認",IF(J139="不要","対応終了",IF(G139="","初回メール",IF(I139&lt;&gt;"","追客完了",IF(TODAY()&gt;=H139,"追客メール","待機")))))))))</x:f>
      </x:c>
    </x:row>
    <x:row r="140">
      <x:c r="A140" s="29" t="str">
        <x:f>IF(B140="","",ROW()-4)</x:f>
      </x:c>
      <x:c r="B140" s="30"/>
      <x:c r="C140" s="30"/>
      <x:c r="D140" s="33"/>
      <x:c r="E140" s="33"/>
      <x:c r="F140" s="33"/>
      <x:c r="G140" s="31"/>
      <x:c r="H140" s="32" t="str">
        <x:f>IF(G140="","",G140+'設定・使い方'!$B$4)</x:f>
      </x:c>
      <x:c r="I140" s="31"/>
      <x:c r="J140" s="30" t="str">
        <x:v>未返信</x:v>
      </x:c>
      <x:c r="K140" s="30" t="str">
        <x:v>いいえ</x:v>
      </x:c>
      <x:c r="L140" s="29" t="str">
        <x:f>IF(B140="","",IF(K140="はい","送信禁止",IF(J140="成約","成約",IF(OR(J140="返信あり",J140="検討中",J140="不要"),"返信あり",IF(G140="","未送信",IF(I140&lt;&gt;"","追客済み",IF(TODAY()&gt;=H140,"追客対象","初回送信済み")))))))</x:f>
      </x:c>
      <x:c r="M140" s="29" t="str">
        <x:f>IF(B140="","",IF(K140="はい","送信しない",IF(J140="成約","対応完了",IF(J140="返信あり","返信対応",IF(J140="検討中","状況確認",IF(J140="不要","対応終了",IF(G140="","初回メール",IF(I140&lt;&gt;"","追客完了",IF(TODAY()&gt;=H140,"追客メール","待機")))))))))</x:f>
      </x:c>
    </x:row>
    <x:row r="141">
      <x:c r="A141" s="29" t="str">
        <x:f>IF(B141="","",ROW()-4)</x:f>
      </x:c>
      <x:c r="B141" s="30"/>
      <x:c r="C141" s="30"/>
      <x:c r="D141" s="33"/>
      <x:c r="E141" s="33"/>
      <x:c r="F141" s="33"/>
      <x:c r="G141" s="31"/>
      <x:c r="H141" s="32" t="str">
        <x:f>IF(G141="","",G141+'設定・使い方'!$B$4)</x:f>
      </x:c>
      <x:c r="I141" s="31"/>
      <x:c r="J141" s="30" t="str">
        <x:v>未返信</x:v>
      </x:c>
      <x:c r="K141" s="30" t="str">
        <x:v>いいえ</x:v>
      </x:c>
      <x:c r="L141" s="29" t="str">
        <x:f>IF(B141="","",IF(K141="はい","送信禁止",IF(J141="成約","成約",IF(OR(J141="返信あり",J141="検討中",J141="不要"),"返信あり",IF(G141="","未送信",IF(I141&lt;&gt;"","追客済み",IF(TODAY()&gt;=H141,"追客対象","初回送信済み")))))))</x:f>
      </x:c>
      <x:c r="M141" s="29" t="str">
        <x:f>IF(B141="","",IF(K141="はい","送信しない",IF(J141="成約","対応完了",IF(J141="返信あり","返信対応",IF(J141="検討中","状況確認",IF(J141="不要","対応終了",IF(G141="","初回メール",IF(I141&lt;&gt;"","追客完了",IF(TODAY()&gt;=H141,"追客メール","待機")))))))))</x:f>
      </x:c>
    </x:row>
    <x:row r="142">
      <x:c r="A142" s="29" t="str">
        <x:f>IF(B142="","",ROW()-4)</x:f>
      </x:c>
      <x:c r="B142" s="30"/>
      <x:c r="C142" s="30"/>
      <x:c r="D142" s="33"/>
      <x:c r="E142" s="33"/>
      <x:c r="F142" s="33"/>
      <x:c r="G142" s="31"/>
      <x:c r="H142" s="32" t="str">
        <x:f>IF(G142="","",G142+'設定・使い方'!$B$4)</x:f>
      </x:c>
      <x:c r="I142" s="31"/>
      <x:c r="J142" s="30" t="str">
        <x:v>未返信</x:v>
      </x:c>
      <x:c r="K142" s="30" t="str">
        <x:v>いいえ</x:v>
      </x:c>
      <x:c r="L142" s="29" t="str">
        <x:f>IF(B142="","",IF(K142="はい","送信禁止",IF(J142="成約","成約",IF(OR(J142="返信あり",J142="検討中",J142="不要"),"返信あり",IF(G142="","未送信",IF(I142&lt;&gt;"","追客済み",IF(TODAY()&gt;=H142,"追客対象","初回送信済み")))))))</x:f>
      </x:c>
      <x:c r="M142" s="29" t="str">
        <x:f>IF(B142="","",IF(K142="はい","送信しない",IF(J142="成約","対応完了",IF(J142="返信あり","返信対応",IF(J142="検討中","状況確認",IF(J142="不要","対応終了",IF(G142="","初回メール",IF(I142&lt;&gt;"","追客完了",IF(TODAY()&gt;=H142,"追客メール","待機")))))))))</x:f>
      </x:c>
    </x:row>
    <x:row r="143">
      <x:c r="A143" s="29" t="str">
        <x:f>IF(B143="","",ROW()-4)</x:f>
      </x:c>
      <x:c r="B143" s="30"/>
      <x:c r="C143" s="30"/>
      <x:c r="D143" s="33"/>
      <x:c r="E143" s="33"/>
      <x:c r="F143" s="33"/>
      <x:c r="G143" s="31"/>
      <x:c r="H143" s="32" t="str">
        <x:f>IF(G143="","",G143+'設定・使い方'!$B$4)</x:f>
      </x:c>
      <x:c r="I143" s="31"/>
      <x:c r="J143" s="30" t="str">
        <x:v>未返信</x:v>
      </x:c>
      <x:c r="K143" s="30" t="str">
        <x:v>いいえ</x:v>
      </x:c>
      <x:c r="L143" s="29" t="str">
        <x:f>IF(B143="","",IF(K143="はい","送信禁止",IF(J143="成約","成約",IF(OR(J143="返信あり",J143="検討中",J143="不要"),"返信あり",IF(G143="","未送信",IF(I143&lt;&gt;"","追客済み",IF(TODAY()&gt;=H143,"追客対象","初回送信済み")))))))</x:f>
      </x:c>
      <x:c r="M143" s="29" t="str">
        <x:f>IF(B143="","",IF(K143="はい","送信しない",IF(J143="成約","対応完了",IF(J143="返信あり","返信対応",IF(J143="検討中","状況確認",IF(J143="不要","対応終了",IF(G143="","初回メール",IF(I143&lt;&gt;"","追客完了",IF(TODAY()&gt;=H143,"追客メール","待機")))))))))</x:f>
      </x:c>
    </x:row>
    <x:row r="144">
      <x:c r="A144" s="29" t="str">
        <x:f>IF(B144="","",ROW()-4)</x:f>
      </x:c>
      <x:c r="B144" s="30"/>
      <x:c r="C144" s="30"/>
      <x:c r="D144" s="33"/>
      <x:c r="E144" s="33"/>
      <x:c r="F144" s="33"/>
      <x:c r="G144" s="31"/>
      <x:c r="H144" s="32" t="str">
        <x:f>IF(G144="","",G144+'設定・使い方'!$B$4)</x:f>
      </x:c>
      <x:c r="I144" s="31"/>
      <x:c r="J144" s="30" t="str">
        <x:v>未返信</x:v>
      </x:c>
      <x:c r="K144" s="30" t="str">
        <x:v>いいえ</x:v>
      </x:c>
      <x:c r="L144" s="29" t="str">
        <x:f>IF(B144="","",IF(K144="はい","送信禁止",IF(J144="成約","成約",IF(OR(J144="返信あり",J144="検討中",J144="不要"),"返信あり",IF(G144="","未送信",IF(I144&lt;&gt;"","追客済み",IF(TODAY()&gt;=H144,"追客対象","初回送信済み")))))))</x:f>
      </x:c>
      <x:c r="M144" s="29" t="str">
        <x:f>IF(B144="","",IF(K144="はい","送信しない",IF(J144="成約","対応完了",IF(J144="返信あり","返信対応",IF(J144="検討中","状況確認",IF(J144="不要","対応終了",IF(G144="","初回メール",IF(I144&lt;&gt;"","追客完了",IF(TODAY()&gt;=H144,"追客メール","待機")))))))))</x:f>
      </x:c>
    </x:row>
    <x:row r="145">
      <x:c r="A145" s="29" t="str">
        <x:f>IF(B145="","",ROW()-4)</x:f>
      </x:c>
      <x:c r="B145" s="30"/>
      <x:c r="C145" s="30"/>
      <x:c r="D145" s="33"/>
      <x:c r="E145" s="33"/>
      <x:c r="F145" s="33"/>
      <x:c r="G145" s="31"/>
      <x:c r="H145" s="32" t="str">
        <x:f>IF(G145="","",G145+'設定・使い方'!$B$4)</x:f>
      </x:c>
      <x:c r="I145" s="31"/>
      <x:c r="J145" s="30" t="str">
        <x:v>未返信</x:v>
      </x:c>
      <x:c r="K145" s="30" t="str">
        <x:v>いいえ</x:v>
      </x:c>
      <x:c r="L145" s="29" t="str">
        <x:f>IF(B145="","",IF(K145="はい","送信禁止",IF(J145="成約","成約",IF(OR(J145="返信あり",J145="検討中",J145="不要"),"返信あり",IF(G145="","未送信",IF(I145&lt;&gt;"","追客済み",IF(TODAY()&gt;=H145,"追客対象","初回送信済み")))))))</x:f>
      </x:c>
      <x:c r="M145" s="29" t="str">
        <x:f>IF(B145="","",IF(K145="はい","送信しない",IF(J145="成約","対応完了",IF(J145="返信あり","返信対応",IF(J145="検討中","状況確認",IF(J145="不要","対応終了",IF(G145="","初回メール",IF(I145&lt;&gt;"","追客完了",IF(TODAY()&gt;=H145,"追客メール","待機")))))))))</x:f>
      </x:c>
    </x:row>
    <x:row r="146">
      <x:c r="A146" s="29" t="str">
        <x:f>IF(B146="","",ROW()-4)</x:f>
      </x:c>
      <x:c r="B146" s="30"/>
      <x:c r="C146" s="30"/>
      <x:c r="D146" s="33"/>
      <x:c r="E146" s="33"/>
      <x:c r="F146" s="33"/>
      <x:c r="G146" s="31"/>
      <x:c r="H146" s="32" t="str">
        <x:f>IF(G146="","",G146+'設定・使い方'!$B$4)</x:f>
      </x:c>
      <x:c r="I146" s="31"/>
      <x:c r="J146" s="30" t="str">
        <x:v>未返信</x:v>
      </x:c>
      <x:c r="K146" s="30" t="str">
        <x:v>いいえ</x:v>
      </x:c>
      <x:c r="L146" s="29" t="str">
        <x:f>IF(B146="","",IF(K146="はい","送信禁止",IF(J146="成約","成約",IF(OR(J146="返信あり",J146="検討中",J146="不要"),"返信あり",IF(G146="","未送信",IF(I146&lt;&gt;"","追客済み",IF(TODAY()&gt;=H146,"追客対象","初回送信済み")))))))</x:f>
      </x:c>
      <x:c r="M146" s="29" t="str">
        <x:f>IF(B146="","",IF(K146="はい","送信しない",IF(J146="成約","対応完了",IF(J146="返信あり","返信対応",IF(J146="検討中","状況確認",IF(J146="不要","対応終了",IF(G146="","初回メール",IF(I146&lt;&gt;"","追客完了",IF(TODAY()&gt;=H146,"追客メール","待機")))))))))</x:f>
      </x:c>
    </x:row>
    <x:row r="147">
      <x:c r="A147" s="29" t="str">
        <x:f>IF(B147="","",ROW()-4)</x:f>
      </x:c>
      <x:c r="B147" s="30"/>
      <x:c r="C147" s="30"/>
      <x:c r="D147" s="33"/>
      <x:c r="E147" s="33"/>
      <x:c r="F147" s="33"/>
      <x:c r="G147" s="31"/>
      <x:c r="H147" s="32" t="str">
        <x:f>IF(G147="","",G147+'設定・使い方'!$B$4)</x:f>
      </x:c>
      <x:c r="I147" s="31"/>
      <x:c r="J147" s="30" t="str">
        <x:v>未返信</x:v>
      </x:c>
      <x:c r="K147" s="30" t="str">
        <x:v>いいえ</x:v>
      </x:c>
      <x:c r="L147" s="29" t="str">
        <x:f>IF(B147="","",IF(K147="はい","送信禁止",IF(J147="成約","成約",IF(OR(J147="返信あり",J147="検討中",J147="不要"),"返信あり",IF(G147="","未送信",IF(I147&lt;&gt;"","追客済み",IF(TODAY()&gt;=H147,"追客対象","初回送信済み")))))))</x:f>
      </x:c>
      <x:c r="M147" s="29" t="str">
        <x:f>IF(B147="","",IF(K147="はい","送信しない",IF(J147="成約","対応完了",IF(J147="返信あり","返信対応",IF(J147="検討中","状況確認",IF(J147="不要","対応終了",IF(G147="","初回メール",IF(I147&lt;&gt;"","追客完了",IF(TODAY()&gt;=H147,"追客メール","待機")))))))))</x:f>
      </x:c>
    </x:row>
    <x:row r="148">
      <x:c r="A148" s="29" t="str">
        <x:f>IF(B148="","",ROW()-4)</x:f>
      </x:c>
      <x:c r="B148" s="30"/>
      <x:c r="C148" s="30"/>
      <x:c r="D148" s="33"/>
      <x:c r="E148" s="33"/>
      <x:c r="F148" s="33"/>
      <x:c r="G148" s="31"/>
      <x:c r="H148" s="32" t="str">
        <x:f>IF(G148="","",G148+'設定・使い方'!$B$4)</x:f>
      </x:c>
      <x:c r="I148" s="31"/>
      <x:c r="J148" s="30" t="str">
        <x:v>未返信</x:v>
      </x:c>
      <x:c r="K148" s="30" t="str">
        <x:v>いいえ</x:v>
      </x:c>
      <x:c r="L148" s="29" t="str">
        <x:f>IF(B148="","",IF(K148="はい","送信禁止",IF(J148="成約","成約",IF(OR(J148="返信あり",J148="検討中",J148="不要"),"返信あり",IF(G148="","未送信",IF(I148&lt;&gt;"","追客済み",IF(TODAY()&gt;=H148,"追客対象","初回送信済み")))))))</x:f>
      </x:c>
      <x:c r="M148" s="29" t="str">
        <x:f>IF(B148="","",IF(K148="はい","送信しない",IF(J148="成約","対応完了",IF(J148="返信あり","返信対応",IF(J148="検討中","状況確認",IF(J148="不要","対応終了",IF(G148="","初回メール",IF(I148&lt;&gt;"","追客完了",IF(TODAY()&gt;=H148,"追客メール","待機")))))))))</x:f>
      </x:c>
    </x:row>
    <x:row r="149">
      <x:c r="A149" s="29" t="str">
        <x:f>IF(B149="","",ROW()-4)</x:f>
      </x:c>
      <x:c r="B149" s="30"/>
      <x:c r="C149" s="30"/>
      <x:c r="D149" s="33"/>
      <x:c r="E149" s="33"/>
      <x:c r="F149" s="33"/>
      <x:c r="G149" s="31"/>
      <x:c r="H149" s="32" t="str">
        <x:f>IF(G149="","",G149+'設定・使い方'!$B$4)</x:f>
      </x:c>
      <x:c r="I149" s="31"/>
      <x:c r="J149" s="30" t="str">
        <x:v>未返信</x:v>
      </x:c>
      <x:c r="K149" s="30" t="str">
        <x:v>いいえ</x:v>
      </x:c>
      <x:c r="L149" s="29" t="str">
        <x:f>IF(B149="","",IF(K149="はい","送信禁止",IF(J149="成約","成約",IF(OR(J149="返信あり",J149="検討中",J149="不要"),"返信あり",IF(G149="","未送信",IF(I149&lt;&gt;"","追客済み",IF(TODAY()&gt;=H149,"追客対象","初回送信済み")))))))</x:f>
      </x:c>
      <x:c r="M149" s="29" t="str">
        <x:f>IF(B149="","",IF(K149="はい","送信しない",IF(J149="成約","対応完了",IF(J149="返信あり","返信対応",IF(J149="検討中","状況確認",IF(J149="不要","対応終了",IF(G149="","初回メール",IF(I149&lt;&gt;"","追客完了",IF(TODAY()&gt;=H149,"追客メール","待機")))))))))</x:f>
      </x:c>
    </x:row>
    <x:row r="150">
      <x:c r="A150" s="29" t="str">
        <x:f>IF(B150="","",ROW()-4)</x:f>
      </x:c>
      <x:c r="B150" s="30"/>
      <x:c r="C150" s="30"/>
      <x:c r="D150" s="33"/>
      <x:c r="E150" s="33"/>
      <x:c r="F150" s="33"/>
      <x:c r="G150" s="31"/>
      <x:c r="H150" s="32" t="str">
        <x:f>IF(G150="","",G150+'設定・使い方'!$B$4)</x:f>
      </x:c>
      <x:c r="I150" s="31"/>
      <x:c r="J150" s="30" t="str">
        <x:v>未返信</x:v>
      </x:c>
      <x:c r="K150" s="30" t="str">
        <x:v>いいえ</x:v>
      </x:c>
      <x:c r="L150" s="29" t="str">
        <x:f>IF(B150="","",IF(K150="はい","送信禁止",IF(J150="成約","成約",IF(OR(J150="返信あり",J150="検討中",J150="不要"),"返信あり",IF(G150="","未送信",IF(I150&lt;&gt;"","追客済み",IF(TODAY()&gt;=H150,"追客対象","初回送信済み")))))))</x:f>
      </x:c>
      <x:c r="M150" s="29" t="str">
        <x:f>IF(B150="","",IF(K150="はい","送信しない",IF(J150="成約","対応完了",IF(J150="返信あり","返信対応",IF(J150="検討中","状況確認",IF(J150="不要","対応終了",IF(G150="","初回メール",IF(I150&lt;&gt;"","追客完了",IF(TODAY()&gt;=H150,"追客メール","待機")))))))))</x:f>
      </x:c>
    </x:row>
    <x:row r="151">
      <x:c r="A151" s="29" t="str">
        <x:f>IF(B151="","",ROW()-4)</x:f>
      </x:c>
      <x:c r="B151" s="30"/>
      <x:c r="C151" s="30"/>
      <x:c r="D151" s="33"/>
      <x:c r="E151" s="33"/>
      <x:c r="F151" s="33"/>
      <x:c r="G151" s="31"/>
      <x:c r="H151" s="32" t="str">
        <x:f>IF(G151="","",G151+'設定・使い方'!$B$4)</x:f>
      </x:c>
      <x:c r="I151" s="31"/>
      <x:c r="J151" s="30" t="str">
        <x:v>未返信</x:v>
      </x:c>
      <x:c r="K151" s="30" t="str">
        <x:v>いいえ</x:v>
      </x:c>
      <x:c r="L151" s="29" t="str">
        <x:f>IF(B151="","",IF(K151="はい","送信禁止",IF(J151="成約","成約",IF(OR(J151="返信あり",J151="検討中",J151="不要"),"返信あり",IF(G151="","未送信",IF(I151&lt;&gt;"","追客済み",IF(TODAY()&gt;=H151,"追客対象","初回送信済み")))))))</x:f>
      </x:c>
      <x:c r="M151" s="29" t="str">
        <x:f>IF(B151="","",IF(K151="はい","送信しない",IF(J151="成約","対応完了",IF(J151="返信あり","返信対応",IF(J151="検討中","状況確認",IF(J151="不要","対応終了",IF(G151="","初回メール",IF(I151&lt;&gt;"","追客完了",IF(TODAY()&gt;=H151,"追客メール","待機")))))))))</x:f>
      </x:c>
    </x:row>
    <x:row r="152">
      <x:c r="A152" s="29" t="str">
        <x:f>IF(B152="","",ROW()-4)</x:f>
      </x:c>
      <x:c r="B152" s="30"/>
      <x:c r="C152" s="30"/>
      <x:c r="D152" s="33"/>
      <x:c r="E152" s="33"/>
      <x:c r="F152" s="33"/>
      <x:c r="G152" s="31"/>
      <x:c r="H152" s="32" t="str">
        <x:f>IF(G152="","",G152+'設定・使い方'!$B$4)</x:f>
      </x:c>
      <x:c r="I152" s="31"/>
      <x:c r="J152" s="30" t="str">
        <x:v>未返信</x:v>
      </x:c>
      <x:c r="K152" s="30" t="str">
        <x:v>いいえ</x:v>
      </x:c>
      <x:c r="L152" s="29" t="str">
        <x:f>IF(B152="","",IF(K152="はい","送信禁止",IF(J152="成約","成約",IF(OR(J152="返信あり",J152="検討中",J152="不要"),"返信あり",IF(G152="","未送信",IF(I152&lt;&gt;"","追客済み",IF(TODAY()&gt;=H152,"追客対象","初回送信済み")))))))</x:f>
      </x:c>
      <x:c r="M152" s="29" t="str">
        <x:f>IF(B152="","",IF(K152="はい","送信しない",IF(J152="成約","対応完了",IF(J152="返信あり","返信対応",IF(J152="検討中","状況確認",IF(J152="不要","対応終了",IF(G152="","初回メール",IF(I152&lt;&gt;"","追客完了",IF(TODAY()&gt;=H152,"追客メール","待機")))))))))</x:f>
      </x:c>
    </x:row>
    <x:row r="153">
      <x:c r="A153" s="29" t="str">
        <x:f>IF(B153="","",ROW()-4)</x:f>
      </x:c>
      <x:c r="B153" s="30"/>
      <x:c r="C153" s="30"/>
      <x:c r="D153" s="33"/>
      <x:c r="E153" s="33"/>
      <x:c r="F153" s="33"/>
      <x:c r="G153" s="31"/>
      <x:c r="H153" s="32" t="str">
        <x:f>IF(G153="","",G153+'設定・使い方'!$B$4)</x:f>
      </x:c>
      <x:c r="I153" s="31"/>
      <x:c r="J153" s="30" t="str">
        <x:v>未返信</x:v>
      </x:c>
      <x:c r="K153" s="30" t="str">
        <x:v>いいえ</x:v>
      </x:c>
      <x:c r="L153" s="29" t="str">
        <x:f>IF(B153="","",IF(K153="はい","送信禁止",IF(J153="成約","成約",IF(OR(J153="返信あり",J153="検討中",J153="不要"),"返信あり",IF(G153="","未送信",IF(I153&lt;&gt;"","追客済み",IF(TODAY()&gt;=H153,"追客対象","初回送信済み")))))))</x:f>
      </x:c>
      <x:c r="M153" s="29" t="str">
        <x:f>IF(B153="","",IF(K153="はい","送信しない",IF(J153="成約","対応完了",IF(J153="返信あり","返信対応",IF(J153="検討中","状況確認",IF(J153="不要","対応終了",IF(G153="","初回メール",IF(I153&lt;&gt;"","追客完了",IF(TODAY()&gt;=H153,"追客メール","待機")))))))))</x:f>
      </x:c>
    </x:row>
    <x:row r="154">
      <x:c r="A154" s="29" t="str">
        <x:f>IF(B154="","",ROW()-4)</x:f>
      </x:c>
      <x:c r="B154" s="30"/>
      <x:c r="C154" s="30"/>
      <x:c r="D154" s="33"/>
      <x:c r="E154" s="33"/>
      <x:c r="F154" s="33"/>
      <x:c r="G154" s="31"/>
      <x:c r="H154" s="32" t="str">
        <x:f>IF(G154="","",G154+'設定・使い方'!$B$4)</x:f>
      </x:c>
      <x:c r="I154" s="31"/>
      <x:c r="J154" s="30" t="str">
        <x:v>未返信</x:v>
      </x:c>
      <x:c r="K154" s="30" t="str">
        <x:v>いいえ</x:v>
      </x:c>
      <x:c r="L154" s="29" t="str">
        <x:f>IF(B154="","",IF(K154="はい","送信禁止",IF(J154="成約","成約",IF(OR(J154="返信あり",J154="検討中",J154="不要"),"返信あり",IF(G154="","未送信",IF(I154&lt;&gt;"","追客済み",IF(TODAY()&gt;=H154,"追客対象","初回送信済み")))))))</x:f>
      </x:c>
      <x:c r="M154" s="29" t="str">
        <x:f>IF(B154="","",IF(K154="はい","送信しない",IF(J154="成約","対応完了",IF(J154="返信あり","返信対応",IF(J154="検討中","状況確認",IF(J154="不要","対応終了",IF(G154="","初回メール",IF(I154&lt;&gt;"","追客完了",IF(TODAY()&gt;=H154,"追客メール","待機")))))))))</x:f>
      </x:c>
    </x:row>
    <x:row r="155">
      <x:c r="A155" s="29" t="str">
        <x:f>IF(B155="","",ROW()-4)</x:f>
      </x:c>
      <x:c r="B155" s="30"/>
      <x:c r="C155" s="30"/>
      <x:c r="D155" s="33"/>
      <x:c r="E155" s="33"/>
      <x:c r="F155" s="33"/>
      <x:c r="G155" s="31"/>
      <x:c r="H155" s="32" t="str">
        <x:f>IF(G155="","",G155+'設定・使い方'!$B$4)</x:f>
      </x:c>
      <x:c r="I155" s="31"/>
      <x:c r="J155" s="30" t="str">
        <x:v>未返信</x:v>
      </x:c>
      <x:c r="K155" s="30" t="str">
        <x:v>いいえ</x:v>
      </x:c>
      <x:c r="L155" s="29" t="str">
        <x:f>IF(B155="","",IF(K155="はい","送信禁止",IF(J155="成約","成約",IF(OR(J155="返信あり",J155="検討中",J155="不要"),"返信あり",IF(G155="","未送信",IF(I155&lt;&gt;"","追客済み",IF(TODAY()&gt;=H155,"追客対象","初回送信済み")))))))</x:f>
      </x:c>
      <x:c r="M155" s="29" t="str">
        <x:f>IF(B155="","",IF(K155="はい","送信しない",IF(J155="成約","対応完了",IF(J155="返信あり","返信対応",IF(J155="検討中","状況確認",IF(J155="不要","対応終了",IF(G155="","初回メール",IF(I155&lt;&gt;"","追客完了",IF(TODAY()&gt;=H155,"追客メール","待機")))))))))</x:f>
      </x:c>
    </x:row>
    <x:row r="156">
      <x:c r="A156" s="29" t="str">
        <x:f>IF(B156="","",ROW()-4)</x:f>
      </x:c>
      <x:c r="B156" s="30"/>
      <x:c r="C156" s="30"/>
      <x:c r="D156" s="33"/>
      <x:c r="E156" s="33"/>
      <x:c r="F156" s="33"/>
      <x:c r="G156" s="31"/>
      <x:c r="H156" s="32" t="str">
        <x:f>IF(G156="","",G156+'設定・使い方'!$B$4)</x:f>
      </x:c>
      <x:c r="I156" s="31"/>
      <x:c r="J156" s="30" t="str">
        <x:v>未返信</x:v>
      </x:c>
      <x:c r="K156" s="30" t="str">
        <x:v>いいえ</x:v>
      </x:c>
      <x:c r="L156" s="29" t="str">
        <x:f>IF(B156="","",IF(K156="はい","送信禁止",IF(J156="成約","成約",IF(OR(J156="返信あり",J156="検討中",J156="不要"),"返信あり",IF(G156="","未送信",IF(I156&lt;&gt;"","追客済み",IF(TODAY()&gt;=H156,"追客対象","初回送信済み")))))))</x:f>
      </x:c>
      <x:c r="M156" s="29" t="str">
        <x:f>IF(B156="","",IF(K156="はい","送信しない",IF(J156="成約","対応完了",IF(J156="返信あり","返信対応",IF(J156="検討中","状況確認",IF(J156="不要","対応終了",IF(G156="","初回メール",IF(I156&lt;&gt;"","追客完了",IF(TODAY()&gt;=H156,"追客メール","待機")))))))))</x:f>
      </x:c>
    </x:row>
    <x:row r="157">
      <x:c r="A157" s="29" t="str">
        <x:f>IF(B157="","",ROW()-4)</x:f>
      </x:c>
      <x:c r="B157" s="30"/>
      <x:c r="C157" s="30"/>
      <x:c r="D157" s="33"/>
      <x:c r="E157" s="33"/>
      <x:c r="F157" s="33"/>
      <x:c r="G157" s="31"/>
      <x:c r="H157" s="32" t="str">
        <x:f>IF(G157="","",G157+'設定・使い方'!$B$4)</x:f>
      </x:c>
      <x:c r="I157" s="31"/>
      <x:c r="J157" s="30" t="str">
        <x:v>未返信</x:v>
      </x:c>
      <x:c r="K157" s="30" t="str">
        <x:v>いいえ</x:v>
      </x:c>
      <x:c r="L157" s="29" t="str">
        <x:f>IF(B157="","",IF(K157="はい","送信禁止",IF(J157="成約","成約",IF(OR(J157="返信あり",J157="検討中",J157="不要"),"返信あり",IF(G157="","未送信",IF(I157&lt;&gt;"","追客済み",IF(TODAY()&gt;=H157,"追客対象","初回送信済み")))))))</x:f>
      </x:c>
      <x:c r="M157" s="29" t="str">
        <x:f>IF(B157="","",IF(K157="はい","送信しない",IF(J157="成約","対応完了",IF(J157="返信あり","返信対応",IF(J157="検討中","状況確認",IF(J157="不要","対応終了",IF(G157="","初回メール",IF(I157&lt;&gt;"","追客完了",IF(TODAY()&gt;=H157,"追客メール","待機")))))))))</x:f>
      </x:c>
    </x:row>
    <x:row r="158">
      <x:c r="A158" s="29" t="str">
        <x:f>IF(B158="","",ROW()-4)</x:f>
      </x:c>
      <x:c r="B158" s="30"/>
      <x:c r="C158" s="30"/>
      <x:c r="D158" s="33"/>
      <x:c r="E158" s="33"/>
      <x:c r="F158" s="33"/>
      <x:c r="G158" s="31"/>
      <x:c r="H158" s="32" t="str">
        <x:f>IF(G158="","",G158+'設定・使い方'!$B$4)</x:f>
      </x:c>
      <x:c r="I158" s="31"/>
      <x:c r="J158" s="30" t="str">
        <x:v>未返信</x:v>
      </x:c>
      <x:c r="K158" s="30" t="str">
        <x:v>いいえ</x:v>
      </x:c>
      <x:c r="L158" s="29" t="str">
        <x:f>IF(B158="","",IF(K158="はい","送信禁止",IF(J158="成約","成約",IF(OR(J158="返信あり",J158="検討中",J158="不要"),"返信あり",IF(G158="","未送信",IF(I158&lt;&gt;"","追客済み",IF(TODAY()&gt;=H158,"追客対象","初回送信済み")))))))</x:f>
      </x:c>
      <x:c r="M158" s="29" t="str">
        <x:f>IF(B158="","",IF(K158="はい","送信しない",IF(J158="成約","対応完了",IF(J158="返信あり","返信対応",IF(J158="検討中","状況確認",IF(J158="不要","対応終了",IF(G158="","初回メール",IF(I158&lt;&gt;"","追客完了",IF(TODAY()&gt;=H158,"追客メール","待機")))))))))</x:f>
      </x:c>
    </x:row>
    <x:row r="159">
      <x:c r="A159" s="29" t="str">
        <x:f>IF(B159="","",ROW()-4)</x:f>
      </x:c>
      <x:c r="B159" s="30"/>
      <x:c r="C159" s="30"/>
      <x:c r="D159" s="33"/>
      <x:c r="E159" s="33"/>
      <x:c r="F159" s="33"/>
      <x:c r="G159" s="31"/>
      <x:c r="H159" s="32" t="str">
        <x:f>IF(G159="","",G159+'設定・使い方'!$B$4)</x:f>
      </x:c>
      <x:c r="I159" s="31"/>
      <x:c r="J159" s="30" t="str">
        <x:v>未返信</x:v>
      </x:c>
      <x:c r="K159" s="30" t="str">
        <x:v>いいえ</x:v>
      </x:c>
      <x:c r="L159" s="29" t="str">
        <x:f>IF(B159="","",IF(K159="はい","送信禁止",IF(J159="成約","成約",IF(OR(J159="返信あり",J159="検討中",J159="不要"),"返信あり",IF(G159="","未送信",IF(I159&lt;&gt;"","追客済み",IF(TODAY()&gt;=H159,"追客対象","初回送信済み")))))))</x:f>
      </x:c>
      <x:c r="M159" s="29" t="str">
        <x:f>IF(B159="","",IF(K159="はい","送信しない",IF(J159="成約","対応完了",IF(J159="返信あり","返信対応",IF(J159="検討中","状況確認",IF(J159="不要","対応終了",IF(G159="","初回メール",IF(I159&lt;&gt;"","追客完了",IF(TODAY()&gt;=H159,"追客メール","待機")))))))))</x:f>
      </x:c>
    </x:row>
    <x:row r="160">
      <x:c r="A160" s="29" t="str">
        <x:f>IF(B160="","",ROW()-4)</x:f>
      </x:c>
      <x:c r="B160" s="30"/>
      <x:c r="C160" s="30"/>
      <x:c r="D160" s="33"/>
      <x:c r="E160" s="33"/>
      <x:c r="F160" s="33"/>
      <x:c r="G160" s="31"/>
      <x:c r="H160" s="32" t="str">
        <x:f>IF(G160="","",G160+'設定・使い方'!$B$4)</x:f>
      </x:c>
      <x:c r="I160" s="31"/>
      <x:c r="J160" s="30" t="str">
        <x:v>未返信</x:v>
      </x:c>
      <x:c r="K160" s="30" t="str">
        <x:v>いいえ</x:v>
      </x:c>
      <x:c r="L160" s="29" t="str">
        <x:f>IF(B160="","",IF(K160="はい","送信禁止",IF(J160="成約","成約",IF(OR(J160="返信あり",J160="検討中",J160="不要"),"返信あり",IF(G160="","未送信",IF(I160&lt;&gt;"","追客済み",IF(TODAY()&gt;=H160,"追客対象","初回送信済み")))))))</x:f>
      </x:c>
      <x:c r="M160" s="29" t="str">
        <x:f>IF(B160="","",IF(K160="はい","送信しない",IF(J160="成約","対応完了",IF(J160="返信あり","返信対応",IF(J160="検討中","状況確認",IF(J160="不要","対応終了",IF(G160="","初回メール",IF(I160&lt;&gt;"","追客完了",IF(TODAY()&gt;=H160,"追客メール","待機")))))))))</x:f>
      </x:c>
    </x:row>
    <x:row r="161">
      <x:c r="A161" s="29" t="str">
        <x:f>IF(B161="","",ROW()-4)</x:f>
      </x:c>
      <x:c r="B161" s="30"/>
      <x:c r="C161" s="30"/>
      <x:c r="D161" s="33"/>
      <x:c r="E161" s="33"/>
      <x:c r="F161" s="33"/>
      <x:c r="G161" s="31"/>
      <x:c r="H161" s="32" t="str">
        <x:f>IF(G161="","",G161+'設定・使い方'!$B$4)</x:f>
      </x:c>
      <x:c r="I161" s="31"/>
      <x:c r="J161" s="30" t="str">
        <x:v>未返信</x:v>
      </x:c>
      <x:c r="K161" s="30" t="str">
        <x:v>いいえ</x:v>
      </x:c>
      <x:c r="L161" s="29" t="str">
        <x:f>IF(B161="","",IF(K161="はい","送信禁止",IF(J161="成約","成約",IF(OR(J161="返信あり",J161="検討中",J161="不要"),"返信あり",IF(G161="","未送信",IF(I161&lt;&gt;"","追客済み",IF(TODAY()&gt;=H161,"追客対象","初回送信済み")))))))</x:f>
      </x:c>
      <x:c r="M161" s="29" t="str">
        <x:f>IF(B161="","",IF(K161="はい","送信しない",IF(J161="成約","対応完了",IF(J161="返信あり","返信対応",IF(J161="検討中","状況確認",IF(J161="不要","対応終了",IF(G161="","初回メール",IF(I161&lt;&gt;"","追客完了",IF(TODAY()&gt;=H161,"追客メール","待機")))))))))</x:f>
      </x:c>
    </x:row>
    <x:row r="162">
      <x:c r="A162" s="29" t="str">
        <x:f>IF(B162="","",ROW()-4)</x:f>
      </x:c>
      <x:c r="B162" s="30"/>
      <x:c r="C162" s="30"/>
      <x:c r="D162" s="33"/>
      <x:c r="E162" s="33"/>
      <x:c r="F162" s="33"/>
      <x:c r="G162" s="31"/>
      <x:c r="H162" s="32" t="str">
        <x:f>IF(G162="","",G162+'設定・使い方'!$B$4)</x:f>
      </x:c>
      <x:c r="I162" s="31"/>
      <x:c r="J162" s="30" t="str">
        <x:v>未返信</x:v>
      </x:c>
      <x:c r="K162" s="30" t="str">
        <x:v>いいえ</x:v>
      </x:c>
      <x:c r="L162" s="29" t="str">
        <x:f>IF(B162="","",IF(K162="はい","送信禁止",IF(J162="成約","成約",IF(OR(J162="返信あり",J162="検討中",J162="不要"),"返信あり",IF(G162="","未送信",IF(I162&lt;&gt;"","追客済み",IF(TODAY()&gt;=H162,"追客対象","初回送信済み")))))))</x:f>
      </x:c>
      <x:c r="M162" s="29" t="str">
        <x:f>IF(B162="","",IF(K162="はい","送信しない",IF(J162="成約","対応完了",IF(J162="返信あり","返信対応",IF(J162="検討中","状況確認",IF(J162="不要","対応終了",IF(G162="","初回メール",IF(I162&lt;&gt;"","追客完了",IF(TODAY()&gt;=H162,"追客メール","待機")))))))))</x:f>
      </x:c>
    </x:row>
    <x:row r="163">
      <x:c r="A163" s="29" t="str">
        <x:f>IF(B163="","",ROW()-4)</x:f>
      </x:c>
      <x:c r="B163" s="30"/>
      <x:c r="C163" s="30"/>
      <x:c r="D163" s="33"/>
      <x:c r="E163" s="33"/>
      <x:c r="F163" s="33"/>
      <x:c r="G163" s="31"/>
      <x:c r="H163" s="32" t="str">
        <x:f>IF(G163="","",G163+'設定・使い方'!$B$4)</x:f>
      </x:c>
      <x:c r="I163" s="31"/>
      <x:c r="J163" s="30" t="str">
        <x:v>未返信</x:v>
      </x:c>
      <x:c r="K163" s="30" t="str">
        <x:v>いいえ</x:v>
      </x:c>
      <x:c r="L163" s="29" t="str">
        <x:f>IF(B163="","",IF(K163="はい","送信禁止",IF(J163="成約","成約",IF(OR(J163="返信あり",J163="検討中",J163="不要"),"返信あり",IF(G163="","未送信",IF(I163&lt;&gt;"","追客済み",IF(TODAY()&gt;=H163,"追客対象","初回送信済み")))))))</x:f>
      </x:c>
      <x:c r="M163" s="29" t="str">
        <x:f>IF(B163="","",IF(K163="はい","送信しない",IF(J163="成約","対応完了",IF(J163="返信あり","返信対応",IF(J163="検討中","状況確認",IF(J163="不要","対応終了",IF(G163="","初回メール",IF(I163&lt;&gt;"","追客完了",IF(TODAY()&gt;=H163,"追客メール","待機")))))))))</x:f>
      </x:c>
    </x:row>
    <x:row r="164">
      <x:c r="A164" s="29" t="str">
        <x:f>IF(B164="","",ROW()-4)</x:f>
      </x:c>
      <x:c r="B164" s="30"/>
      <x:c r="C164" s="30"/>
      <x:c r="D164" s="33"/>
      <x:c r="E164" s="33"/>
      <x:c r="F164" s="33"/>
      <x:c r="G164" s="31"/>
      <x:c r="H164" s="32" t="str">
        <x:f>IF(G164="","",G164+'設定・使い方'!$B$4)</x:f>
      </x:c>
      <x:c r="I164" s="31"/>
      <x:c r="J164" s="30" t="str">
        <x:v>未返信</x:v>
      </x:c>
      <x:c r="K164" s="30" t="str">
        <x:v>いいえ</x:v>
      </x:c>
      <x:c r="L164" s="29" t="str">
        <x:f>IF(B164="","",IF(K164="はい","送信禁止",IF(J164="成約","成約",IF(OR(J164="返信あり",J164="検討中",J164="不要"),"返信あり",IF(G164="","未送信",IF(I164&lt;&gt;"","追客済み",IF(TODAY()&gt;=H164,"追客対象","初回送信済み")))))))</x:f>
      </x:c>
      <x:c r="M164" s="29" t="str">
        <x:f>IF(B164="","",IF(K164="はい","送信しない",IF(J164="成約","対応完了",IF(J164="返信あり","返信対応",IF(J164="検討中","状況確認",IF(J164="不要","対応終了",IF(G164="","初回メール",IF(I164&lt;&gt;"","追客完了",IF(TODAY()&gt;=H164,"追客メール","待機")))))))))</x:f>
      </x:c>
    </x:row>
    <x:row r="165">
      <x:c r="A165" s="29" t="str">
        <x:f>IF(B165="","",ROW()-4)</x:f>
      </x:c>
      <x:c r="B165" s="30"/>
      <x:c r="C165" s="30"/>
      <x:c r="D165" s="33"/>
      <x:c r="E165" s="33"/>
      <x:c r="F165" s="33"/>
      <x:c r="G165" s="31"/>
      <x:c r="H165" s="32" t="str">
        <x:f>IF(G165="","",G165+'設定・使い方'!$B$4)</x:f>
      </x:c>
      <x:c r="I165" s="31"/>
      <x:c r="J165" s="30" t="str">
        <x:v>未返信</x:v>
      </x:c>
      <x:c r="K165" s="30" t="str">
        <x:v>いいえ</x:v>
      </x:c>
      <x:c r="L165" s="29" t="str">
        <x:f>IF(B165="","",IF(K165="はい","送信禁止",IF(J165="成約","成約",IF(OR(J165="返信あり",J165="検討中",J165="不要"),"返信あり",IF(G165="","未送信",IF(I165&lt;&gt;"","追客済み",IF(TODAY()&gt;=H165,"追客対象","初回送信済み")))))))</x:f>
      </x:c>
      <x:c r="M165" s="29" t="str">
        <x:f>IF(B165="","",IF(K165="はい","送信しない",IF(J165="成約","対応完了",IF(J165="返信あり","返信対応",IF(J165="検討中","状況確認",IF(J165="不要","対応終了",IF(G165="","初回メール",IF(I165&lt;&gt;"","追客完了",IF(TODAY()&gt;=H165,"追客メール","待機")))))))))</x:f>
      </x:c>
    </x:row>
    <x:row r="166">
      <x:c r="A166" s="29" t="str">
        <x:f>IF(B166="","",ROW()-4)</x:f>
      </x:c>
      <x:c r="B166" s="30"/>
      <x:c r="C166" s="30"/>
      <x:c r="D166" s="33"/>
      <x:c r="E166" s="33"/>
      <x:c r="F166" s="33"/>
      <x:c r="G166" s="31"/>
      <x:c r="H166" s="32" t="str">
        <x:f>IF(G166="","",G166+'設定・使い方'!$B$4)</x:f>
      </x:c>
      <x:c r="I166" s="31"/>
      <x:c r="J166" s="30" t="str">
        <x:v>未返信</x:v>
      </x:c>
      <x:c r="K166" s="30" t="str">
        <x:v>いいえ</x:v>
      </x:c>
      <x:c r="L166" s="29" t="str">
        <x:f>IF(B166="","",IF(K166="はい","送信禁止",IF(J166="成約","成約",IF(OR(J166="返信あり",J166="検討中",J166="不要"),"返信あり",IF(G166="","未送信",IF(I166&lt;&gt;"","追客済み",IF(TODAY()&gt;=H166,"追客対象","初回送信済み")))))))</x:f>
      </x:c>
      <x:c r="M166" s="29" t="str">
        <x:f>IF(B166="","",IF(K166="はい","送信しない",IF(J166="成約","対応完了",IF(J166="返信あり","返信対応",IF(J166="検討中","状況確認",IF(J166="不要","対応終了",IF(G166="","初回メール",IF(I166&lt;&gt;"","追客完了",IF(TODAY()&gt;=H166,"追客メール","待機")))))))))</x:f>
      </x:c>
    </x:row>
    <x:row r="167">
      <x:c r="A167" s="29" t="str">
        <x:f>IF(B167="","",ROW()-4)</x:f>
      </x:c>
      <x:c r="B167" s="30"/>
      <x:c r="C167" s="30"/>
      <x:c r="D167" s="33"/>
      <x:c r="E167" s="33"/>
      <x:c r="F167" s="33"/>
      <x:c r="G167" s="31"/>
      <x:c r="H167" s="32" t="str">
        <x:f>IF(G167="","",G167+'設定・使い方'!$B$4)</x:f>
      </x:c>
      <x:c r="I167" s="31"/>
      <x:c r="J167" s="30" t="str">
        <x:v>未返信</x:v>
      </x:c>
      <x:c r="K167" s="30" t="str">
        <x:v>いいえ</x:v>
      </x:c>
      <x:c r="L167" s="29" t="str">
        <x:f>IF(B167="","",IF(K167="はい","送信禁止",IF(J167="成約","成約",IF(OR(J167="返信あり",J167="検討中",J167="不要"),"返信あり",IF(G167="","未送信",IF(I167&lt;&gt;"","追客済み",IF(TODAY()&gt;=H167,"追客対象","初回送信済み")))))))</x:f>
      </x:c>
      <x:c r="M167" s="29" t="str">
        <x:f>IF(B167="","",IF(K167="はい","送信しない",IF(J167="成約","対応完了",IF(J167="返信あり","返信対応",IF(J167="検討中","状況確認",IF(J167="不要","対応終了",IF(G167="","初回メール",IF(I167&lt;&gt;"","追客完了",IF(TODAY()&gt;=H167,"追客メール","待機")))))))))</x:f>
      </x:c>
    </x:row>
    <x:row r="168">
      <x:c r="A168" s="29" t="str">
        <x:f>IF(B168="","",ROW()-4)</x:f>
      </x:c>
      <x:c r="B168" s="30"/>
      <x:c r="C168" s="30"/>
      <x:c r="D168" s="33"/>
      <x:c r="E168" s="33"/>
      <x:c r="F168" s="33"/>
      <x:c r="G168" s="31"/>
      <x:c r="H168" s="32" t="str">
        <x:f>IF(G168="","",G168+'設定・使い方'!$B$4)</x:f>
      </x:c>
      <x:c r="I168" s="31"/>
      <x:c r="J168" s="30" t="str">
        <x:v>未返信</x:v>
      </x:c>
      <x:c r="K168" s="30" t="str">
        <x:v>いいえ</x:v>
      </x:c>
      <x:c r="L168" s="29" t="str">
        <x:f>IF(B168="","",IF(K168="はい","送信禁止",IF(J168="成約","成約",IF(OR(J168="返信あり",J168="検討中",J168="不要"),"返信あり",IF(G168="","未送信",IF(I168&lt;&gt;"","追客済み",IF(TODAY()&gt;=H168,"追客対象","初回送信済み")))))))</x:f>
      </x:c>
      <x:c r="M168" s="29" t="str">
        <x:f>IF(B168="","",IF(K168="はい","送信しない",IF(J168="成約","対応完了",IF(J168="返信あり","返信対応",IF(J168="検討中","状況確認",IF(J168="不要","対応終了",IF(G168="","初回メール",IF(I168&lt;&gt;"","追客完了",IF(TODAY()&gt;=H168,"追客メール","待機")))))))))</x:f>
      </x:c>
    </x:row>
    <x:row r="169">
      <x:c r="A169" s="29" t="str">
        <x:f>IF(B169="","",ROW()-4)</x:f>
      </x:c>
      <x:c r="B169" s="30"/>
      <x:c r="C169" s="30"/>
      <x:c r="D169" s="33"/>
      <x:c r="E169" s="33"/>
      <x:c r="F169" s="33"/>
      <x:c r="G169" s="31"/>
      <x:c r="H169" s="32" t="str">
        <x:f>IF(G169="","",G169+'設定・使い方'!$B$4)</x:f>
      </x:c>
      <x:c r="I169" s="31"/>
      <x:c r="J169" s="30" t="str">
        <x:v>未返信</x:v>
      </x:c>
      <x:c r="K169" s="30" t="str">
        <x:v>いいえ</x:v>
      </x:c>
      <x:c r="L169" s="29" t="str">
        <x:f>IF(B169="","",IF(K169="はい","送信禁止",IF(J169="成約","成約",IF(OR(J169="返信あり",J169="検討中",J169="不要"),"返信あり",IF(G169="","未送信",IF(I169&lt;&gt;"","追客済み",IF(TODAY()&gt;=H169,"追客対象","初回送信済み")))))))</x:f>
      </x:c>
      <x:c r="M169" s="29" t="str">
        <x:f>IF(B169="","",IF(K169="はい","送信しない",IF(J169="成約","対応完了",IF(J169="返信あり","返信対応",IF(J169="検討中","状況確認",IF(J169="不要","対応終了",IF(G169="","初回メール",IF(I169&lt;&gt;"","追客完了",IF(TODAY()&gt;=H169,"追客メール","待機")))))))))</x:f>
      </x:c>
    </x:row>
    <x:row r="170">
      <x:c r="A170" s="29" t="str">
        <x:f>IF(B170="","",ROW()-4)</x:f>
      </x:c>
      <x:c r="B170" s="30"/>
      <x:c r="C170" s="30"/>
      <x:c r="D170" s="33"/>
      <x:c r="E170" s="33"/>
      <x:c r="F170" s="33"/>
      <x:c r="G170" s="31"/>
      <x:c r="H170" s="32" t="str">
        <x:f>IF(G170="","",G170+'設定・使い方'!$B$4)</x:f>
      </x:c>
      <x:c r="I170" s="31"/>
      <x:c r="J170" s="30" t="str">
        <x:v>未返信</x:v>
      </x:c>
      <x:c r="K170" s="30" t="str">
        <x:v>いいえ</x:v>
      </x:c>
      <x:c r="L170" s="29" t="str">
        <x:f>IF(B170="","",IF(K170="はい","送信禁止",IF(J170="成約","成約",IF(OR(J170="返信あり",J170="検討中",J170="不要"),"返信あり",IF(G170="","未送信",IF(I170&lt;&gt;"","追客済み",IF(TODAY()&gt;=H170,"追客対象","初回送信済み")))))))</x:f>
      </x:c>
      <x:c r="M170" s="29" t="str">
        <x:f>IF(B170="","",IF(K170="はい","送信しない",IF(J170="成約","対応完了",IF(J170="返信あり","返信対応",IF(J170="検討中","状況確認",IF(J170="不要","対応終了",IF(G170="","初回メール",IF(I170&lt;&gt;"","追客完了",IF(TODAY()&gt;=H170,"追客メール","待機")))))))))</x:f>
      </x:c>
    </x:row>
    <x:row r="171">
      <x:c r="A171" s="29" t="str">
        <x:f>IF(B171="","",ROW()-4)</x:f>
      </x:c>
      <x:c r="B171" s="30"/>
      <x:c r="C171" s="30"/>
      <x:c r="D171" s="33"/>
      <x:c r="E171" s="33"/>
      <x:c r="F171" s="33"/>
      <x:c r="G171" s="31"/>
      <x:c r="H171" s="32" t="str">
        <x:f>IF(G171="","",G171+'設定・使い方'!$B$4)</x:f>
      </x:c>
      <x:c r="I171" s="31"/>
      <x:c r="J171" s="30" t="str">
        <x:v>未返信</x:v>
      </x:c>
      <x:c r="K171" s="30" t="str">
        <x:v>いいえ</x:v>
      </x:c>
      <x:c r="L171" s="29" t="str">
        <x:f>IF(B171="","",IF(K171="はい","送信禁止",IF(J171="成約","成約",IF(OR(J171="返信あり",J171="検討中",J171="不要"),"返信あり",IF(G171="","未送信",IF(I171&lt;&gt;"","追客済み",IF(TODAY()&gt;=H171,"追客対象","初回送信済み")))))))</x:f>
      </x:c>
      <x:c r="M171" s="29" t="str">
        <x:f>IF(B171="","",IF(K171="はい","送信しない",IF(J171="成約","対応完了",IF(J171="返信あり","返信対応",IF(J171="検討中","状況確認",IF(J171="不要","対応終了",IF(G171="","初回メール",IF(I171&lt;&gt;"","追客完了",IF(TODAY()&gt;=H171,"追客メール","待機")))))))))</x:f>
      </x:c>
    </x:row>
    <x:row r="172">
      <x:c r="A172" s="29" t="str">
        <x:f>IF(B172="","",ROW()-4)</x:f>
      </x:c>
      <x:c r="B172" s="30"/>
      <x:c r="C172" s="30"/>
      <x:c r="D172" s="33"/>
      <x:c r="E172" s="33"/>
      <x:c r="F172" s="33"/>
      <x:c r="G172" s="31"/>
      <x:c r="H172" s="32" t="str">
        <x:f>IF(G172="","",G172+'設定・使い方'!$B$4)</x:f>
      </x:c>
      <x:c r="I172" s="31"/>
      <x:c r="J172" s="30" t="str">
        <x:v>未返信</x:v>
      </x:c>
      <x:c r="K172" s="30" t="str">
        <x:v>いいえ</x:v>
      </x:c>
      <x:c r="L172" s="29" t="str">
        <x:f>IF(B172="","",IF(K172="はい","送信禁止",IF(J172="成約","成約",IF(OR(J172="返信あり",J172="検討中",J172="不要"),"返信あり",IF(G172="","未送信",IF(I172&lt;&gt;"","追客済み",IF(TODAY()&gt;=H172,"追客対象","初回送信済み")))))))</x:f>
      </x:c>
      <x:c r="M172" s="29" t="str">
        <x:f>IF(B172="","",IF(K172="はい","送信しない",IF(J172="成約","対応完了",IF(J172="返信あり","返信対応",IF(J172="検討中","状況確認",IF(J172="不要","対応終了",IF(G172="","初回メール",IF(I172&lt;&gt;"","追客完了",IF(TODAY()&gt;=H172,"追客メール","待機")))))))))</x:f>
      </x:c>
    </x:row>
    <x:row r="173">
      <x:c r="A173" s="29" t="str">
        <x:f>IF(B173="","",ROW()-4)</x:f>
      </x:c>
      <x:c r="B173" s="30"/>
      <x:c r="C173" s="30"/>
      <x:c r="D173" s="33"/>
      <x:c r="E173" s="33"/>
      <x:c r="F173" s="33"/>
      <x:c r="G173" s="31"/>
      <x:c r="H173" s="32" t="str">
        <x:f>IF(G173="","",G173+'設定・使い方'!$B$4)</x:f>
      </x:c>
      <x:c r="I173" s="31"/>
      <x:c r="J173" s="30" t="str">
        <x:v>未返信</x:v>
      </x:c>
      <x:c r="K173" s="30" t="str">
        <x:v>いいえ</x:v>
      </x:c>
      <x:c r="L173" s="29" t="str">
        <x:f>IF(B173="","",IF(K173="はい","送信禁止",IF(J173="成約","成約",IF(OR(J173="返信あり",J173="検討中",J173="不要"),"返信あり",IF(G173="","未送信",IF(I173&lt;&gt;"","追客済み",IF(TODAY()&gt;=H173,"追客対象","初回送信済み")))))))</x:f>
      </x:c>
      <x:c r="M173" s="29" t="str">
        <x:f>IF(B173="","",IF(K173="はい","送信しない",IF(J173="成約","対応完了",IF(J173="返信あり","返信対応",IF(J173="検討中","状況確認",IF(J173="不要","対応終了",IF(G173="","初回メール",IF(I173&lt;&gt;"","追客完了",IF(TODAY()&gt;=H173,"追客メール","待機")))))))))</x:f>
      </x:c>
    </x:row>
    <x:row r="174">
      <x:c r="A174" s="29" t="str">
        <x:f>IF(B174="","",ROW()-4)</x:f>
      </x:c>
      <x:c r="B174" s="30"/>
      <x:c r="C174" s="30"/>
      <x:c r="D174" s="33"/>
      <x:c r="E174" s="33"/>
      <x:c r="F174" s="33"/>
      <x:c r="G174" s="31"/>
      <x:c r="H174" s="32" t="str">
        <x:f>IF(G174="","",G174+'設定・使い方'!$B$4)</x:f>
      </x:c>
      <x:c r="I174" s="31"/>
      <x:c r="J174" s="30" t="str">
        <x:v>未返信</x:v>
      </x:c>
      <x:c r="K174" s="30" t="str">
        <x:v>いいえ</x:v>
      </x:c>
      <x:c r="L174" s="29" t="str">
        <x:f>IF(B174="","",IF(K174="はい","送信禁止",IF(J174="成約","成約",IF(OR(J174="返信あり",J174="検討中",J174="不要"),"返信あり",IF(G174="","未送信",IF(I174&lt;&gt;"","追客済み",IF(TODAY()&gt;=H174,"追客対象","初回送信済み")))))))</x:f>
      </x:c>
      <x:c r="M174" s="29" t="str">
        <x:f>IF(B174="","",IF(K174="はい","送信しない",IF(J174="成約","対応完了",IF(J174="返信あり","返信対応",IF(J174="検討中","状況確認",IF(J174="不要","対応終了",IF(G174="","初回メール",IF(I174&lt;&gt;"","追客完了",IF(TODAY()&gt;=H174,"追客メール","待機")))))))))</x:f>
      </x:c>
    </x:row>
    <x:row r="175">
      <x:c r="A175" s="29" t="str">
        <x:f>IF(B175="","",ROW()-4)</x:f>
      </x:c>
      <x:c r="B175" s="30"/>
      <x:c r="C175" s="30"/>
      <x:c r="D175" s="33"/>
      <x:c r="E175" s="33"/>
      <x:c r="F175" s="33"/>
      <x:c r="G175" s="31"/>
      <x:c r="H175" s="32" t="str">
        <x:f>IF(G175="","",G175+'設定・使い方'!$B$4)</x:f>
      </x:c>
      <x:c r="I175" s="31"/>
      <x:c r="J175" s="30" t="str">
        <x:v>未返信</x:v>
      </x:c>
      <x:c r="K175" s="30" t="str">
        <x:v>いいえ</x:v>
      </x:c>
      <x:c r="L175" s="29" t="str">
        <x:f>IF(B175="","",IF(K175="はい","送信禁止",IF(J175="成約","成約",IF(OR(J175="返信あり",J175="検討中",J175="不要"),"返信あり",IF(G175="","未送信",IF(I175&lt;&gt;"","追客済み",IF(TODAY()&gt;=H175,"追客対象","初回送信済み")))))))</x:f>
      </x:c>
      <x:c r="M175" s="29" t="str">
        <x:f>IF(B175="","",IF(K175="はい","送信しない",IF(J175="成約","対応完了",IF(J175="返信あり","返信対応",IF(J175="検討中","状況確認",IF(J175="不要","対応終了",IF(G175="","初回メール",IF(I175&lt;&gt;"","追客完了",IF(TODAY()&gt;=H175,"追客メール","待機")))))))))</x:f>
      </x:c>
    </x:row>
    <x:row r="176">
      <x:c r="A176" s="29" t="str">
        <x:f>IF(B176="","",ROW()-4)</x:f>
      </x:c>
      <x:c r="B176" s="30"/>
      <x:c r="C176" s="30"/>
      <x:c r="D176" s="33"/>
      <x:c r="E176" s="33"/>
      <x:c r="F176" s="33"/>
      <x:c r="G176" s="31"/>
      <x:c r="H176" s="32" t="str">
        <x:f>IF(G176="","",G176+'設定・使い方'!$B$4)</x:f>
      </x:c>
      <x:c r="I176" s="31"/>
      <x:c r="J176" s="30" t="str">
        <x:v>未返信</x:v>
      </x:c>
      <x:c r="K176" s="30" t="str">
        <x:v>いいえ</x:v>
      </x:c>
      <x:c r="L176" s="29" t="str">
        <x:f>IF(B176="","",IF(K176="はい","送信禁止",IF(J176="成約","成約",IF(OR(J176="返信あり",J176="検討中",J176="不要"),"返信あり",IF(G176="","未送信",IF(I176&lt;&gt;"","追客済み",IF(TODAY()&gt;=H176,"追客対象","初回送信済み")))))))</x:f>
      </x:c>
      <x:c r="M176" s="29" t="str">
        <x:f>IF(B176="","",IF(K176="はい","送信しない",IF(J176="成約","対応完了",IF(J176="返信あり","返信対応",IF(J176="検討中","状況確認",IF(J176="不要","対応終了",IF(G176="","初回メール",IF(I176&lt;&gt;"","追客完了",IF(TODAY()&gt;=H176,"追客メール","待機")))))))))</x:f>
      </x:c>
    </x:row>
    <x:row r="177">
      <x:c r="A177" s="29" t="str">
        <x:f>IF(B177="","",ROW()-4)</x:f>
      </x:c>
      <x:c r="B177" s="30"/>
      <x:c r="C177" s="30"/>
      <x:c r="D177" s="33"/>
      <x:c r="E177" s="33"/>
      <x:c r="F177" s="33"/>
      <x:c r="G177" s="31"/>
      <x:c r="H177" s="32" t="str">
        <x:f>IF(G177="","",G177+'設定・使い方'!$B$4)</x:f>
      </x:c>
      <x:c r="I177" s="31"/>
      <x:c r="J177" s="30" t="str">
        <x:v>未返信</x:v>
      </x:c>
      <x:c r="K177" s="30" t="str">
        <x:v>いいえ</x:v>
      </x:c>
      <x:c r="L177" s="29" t="str">
        <x:f>IF(B177="","",IF(K177="はい","送信禁止",IF(J177="成約","成約",IF(OR(J177="返信あり",J177="検討中",J177="不要"),"返信あり",IF(G177="","未送信",IF(I177&lt;&gt;"","追客済み",IF(TODAY()&gt;=H177,"追客対象","初回送信済み")))))))</x:f>
      </x:c>
      <x:c r="M177" s="29" t="str">
        <x:f>IF(B177="","",IF(K177="はい","送信しない",IF(J177="成約","対応完了",IF(J177="返信あり","返信対応",IF(J177="検討中","状況確認",IF(J177="不要","対応終了",IF(G177="","初回メール",IF(I177&lt;&gt;"","追客完了",IF(TODAY()&gt;=H177,"追客メール","待機")))))))))</x:f>
      </x:c>
    </x:row>
    <x:row r="178">
      <x:c r="A178" s="29" t="str">
        <x:f>IF(B178="","",ROW()-4)</x:f>
      </x:c>
      <x:c r="B178" s="30"/>
      <x:c r="C178" s="30"/>
      <x:c r="D178" s="33"/>
      <x:c r="E178" s="33"/>
      <x:c r="F178" s="33"/>
      <x:c r="G178" s="31"/>
      <x:c r="H178" s="32" t="str">
        <x:f>IF(G178="","",G178+'設定・使い方'!$B$4)</x:f>
      </x:c>
      <x:c r="I178" s="31"/>
      <x:c r="J178" s="30" t="str">
        <x:v>未返信</x:v>
      </x:c>
      <x:c r="K178" s="30" t="str">
        <x:v>いいえ</x:v>
      </x:c>
      <x:c r="L178" s="29" t="str">
        <x:f>IF(B178="","",IF(K178="はい","送信禁止",IF(J178="成約","成約",IF(OR(J178="返信あり",J178="検討中",J178="不要"),"返信あり",IF(G178="","未送信",IF(I178&lt;&gt;"","追客済み",IF(TODAY()&gt;=H178,"追客対象","初回送信済み")))))))</x:f>
      </x:c>
      <x:c r="M178" s="29" t="str">
        <x:f>IF(B178="","",IF(K178="はい","送信しない",IF(J178="成約","対応完了",IF(J178="返信あり","返信対応",IF(J178="検討中","状況確認",IF(J178="不要","対応終了",IF(G178="","初回メール",IF(I178&lt;&gt;"","追客完了",IF(TODAY()&gt;=H178,"追客メール","待機")))))))))</x:f>
      </x:c>
    </x:row>
    <x:row r="179">
      <x:c r="A179" s="29" t="str">
        <x:f>IF(B179="","",ROW()-4)</x:f>
      </x:c>
      <x:c r="B179" s="30"/>
      <x:c r="C179" s="30"/>
      <x:c r="D179" s="33"/>
      <x:c r="E179" s="33"/>
      <x:c r="F179" s="33"/>
      <x:c r="G179" s="31"/>
      <x:c r="H179" s="32" t="str">
        <x:f>IF(G179="","",G179+'設定・使い方'!$B$4)</x:f>
      </x:c>
      <x:c r="I179" s="31"/>
      <x:c r="J179" s="30" t="str">
        <x:v>未返信</x:v>
      </x:c>
      <x:c r="K179" s="30" t="str">
        <x:v>いいえ</x:v>
      </x:c>
      <x:c r="L179" s="29" t="str">
        <x:f>IF(B179="","",IF(K179="はい","送信禁止",IF(J179="成約","成約",IF(OR(J179="返信あり",J179="検討中",J179="不要"),"返信あり",IF(G179="","未送信",IF(I179&lt;&gt;"","追客済み",IF(TODAY()&gt;=H179,"追客対象","初回送信済み")))))))</x:f>
      </x:c>
      <x:c r="M179" s="29" t="str">
        <x:f>IF(B179="","",IF(K179="はい","送信しない",IF(J179="成約","対応完了",IF(J179="返信あり","返信対応",IF(J179="検討中","状況確認",IF(J179="不要","対応終了",IF(G179="","初回メール",IF(I179&lt;&gt;"","追客完了",IF(TODAY()&gt;=H179,"追客メール","待機")))))))))</x:f>
      </x:c>
    </x:row>
    <x:row r="180">
      <x:c r="A180" s="29" t="str">
        <x:f>IF(B180="","",ROW()-4)</x:f>
      </x:c>
      <x:c r="B180" s="30"/>
      <x:c r="C180" s="30"/>
      <x:c r="D180" s="33"/>
      <x:c r="E180" s="33"/>
      <x:c r="F180" s="33"/>
      <x:c r="G180" s="31"/>
      <x:c r="H180" s="32" t="str">
        <x:f>IF(G180="","",G180+'設定・使い方'!$B$4)</x:f>
      </x:c>
      <x:c r="I180" s="31"/>
      <x:c r="J180" s="30" t="str">
        <x:v>未返信</x:v>
      </x:c>
      <x:c r="K180" s="30" t="str">
        <x:v>いいえ</x:v>
      </x:c>
      <x:c r="L180" s="29" t="str">
        <x:f>IF(B180="","",IF(K180="はい","送信禁止",IF(J180="成約","成約",IF(OR(J180="返信あり",J180="検討中",J180="不要"),"返信あり",IF(G180="","未送信",IF(I180&lt;&gt;"","追客済み",IF(TODAY()&gt;=H180,"追客対象","初回送信済み")))))))</x:f>
      </x:c>
      <x:c r="M180" s="29" t="str">
        <x:f>IF(B180="","",IF(K180="はい","送信しない",IF(J180="成約","対応完了",IF(J180="返信あり","返信対応",IF(J180="検討中","状況確認",IF(J180="不要","対応終了",IF(G180="","初回メール",IF(I180&lt;&gt;"","追客完了",IF(TODAY()&gt;=H180,"追客メール","待機")))))))))</x:f>
      </x:c>
    </x:row>
    <x:row r="181">
      <x:c r="A181" s="29" t="str">
        <x:f>IF(B181="","",ROW()-4)</x:f>
      </x:c>
      <x:c r="B181" s="30"/>
      <x:c r="C181" s="30"/>
      <x:c r="D181" s="33"/>
      <x:c r="E181" s="33"/>
      <x:c r="F181" s="33"/>
      <x:c r="G181" s="31"/>
      <x:c r="H181" s="32" t="str">
        <x:f>IF(G181="","",G181+'設定・使い方'!$B$4)</x:f>
      </x:c>
      <x:c r="I181" s="31"/>
      <x:c r="J181" s="30" t="str">
        <x:v>未返信</x:v>
      </x:c>
      <x:c r="K181" s="30" t="str">
        <x:v>いいえ</x:v>
      </x:c>
      <x:c r="L181" s="29" t="str">
        <x:f>IF(B181="","",IF(K181="はい","送信禁止",IF(J181="成約","成約",IF(OR(J181="返信あり",J181="検討中",J181="不要"),"返信あり",IF(G181="","未送信",IF(I181&lt;&gt;"","追客済み",IF(TODAY()&gt;=H181,"追客対象","初回送信済み")))))))</x:f>
      </x:c>
      <x:c r="M181" s="29" t="str">
        <x:f>IF(B181="","",IF(K181="はい","送信しない",IF(J181="成約","対応完了",IF(J181="返信あり","返信対応",IF(J181="検討中","状況確認",IF(J181="不要","対応終了",IF(G181="","初回メール",IF(I181&lt;&gt;"","追客完了",IF(TODAY()&gt;=H181,"追客メール","待機")))))))))</x:f>
      </x:c>
    </x:row>
    <x:row r="182">
      <x:c r="A182" s="29" t="str">
        <x:f>IF(B182="","",ROW()-4)</x:f>
      </x:c>
      <x:c r="B182" s="30"/>
      <x:c r="C182" s="30"/>
      <x:c r="D182" s="33"/>
      <x:c r="E182" s="33"/>
      <x:c r="F182" s="33"/>
      <x:c r="G182" s="31"/>
      <x:c r="H182" s="32" t="str">
        <x:f>IF(G182="","",G182+'設定・使い方'!$B$4)</x:f>
      </x:c>
      <x:c r="I182" s="31"/>
      <x:c r="J182" s="30" t="str">
        <x:v>未返信</x:v>
      </x:c>
      <x:c r="K182" s="30" t="str">
        <x:v>いいえ</x:v>
      </x:c>
      <x:c r="L182" s="29" t="str">
        <x:f>IF(B182="","",IF(K182="はい","送信禁止",IF(J182="成約","成約",IF(OR(J182="返信あり",J182="検討中",J182="不要"),"返信あり",IF(G182="","未送信",IF(I182&lt;&gt;"","追客済み",IF(TODAY()&gt;=H182,"追客対象","初回送信済み")))))))</x:f>
      </x:c>
      <x:c r="M182" s="29" t="str">
        <x:f>IF(B182="","",IF(K182="はい","送信しない",IF(J182="成約","対応完了",IF(J182="返信あり","返信対応",IF(J182="検討中","状況確認",IF(J182="不要","対応終了",IF(G182="","初回メール",IF(I182&lt;&gt;"","追客完了",IF(TODAY()&gt;=H182,"追客メール","待機")))))))))</x:f>
      </x:c>
    </x:row>
    <x:row r="183">
      <x:c r="A183" s="29" t="str">
        <x:f>IF(B183="","",ROW()-4)</x:f>
      </x:c>
      <x:c r="B183" s="30"/>
      <x:c r="C183" s="30"/>
      <x:c r="D183" s="33"/>
      <x:c r="E183" s="33"/>
      <x:c r="F183" s="33"/>
      <x:c r="G183" s="31"/>
      <x:c r="H183" s="32" t="str">
        <x:f>IF(G183="","",G183+'設定・使い方'!$B$4)</x:f>
      </x:c>
      <x:c r="I183" s="31"/>
      <x:c r="J183" s="30" t="str">
        <x:v>未返信</x:v>
      </x:c>
      <x:c r="K183" s="30" t="str">
        <x:v>いいえ</x:v>
      </x:c>
      <x:c r="L183" s="29" t="str">
        <x:f>IF(B183="","",IF(K183="はい","送信禁止",IF(J183="成約","成約",IF(OR(J183="返信あり",J183="検討中",J183="不要"),"返信あり",IF(G183="","未送信",IF(I183&lt;&gt;"","追客済み",IF(TODAY()&gt;=H183,"追客対象","初回送信済み")))))))</x:f>
      </x:c>
      <x:c r="M183" s="29" t="str">
        <x:f>IF(B183="","",IF(K183="はい","送信しない",IF(J183="成約","対応完了",IF(J183="返信あり","返信対応",IF(J183="検討中","状況確認",IF(J183="不要","対応終了",IF(G183="","初回メール",IF(I183&lt;&gt;"","追客完了",IF(TODAY()&gt;=H183,"追客メール","待機")))))))))</x:f>
      </x:c>
    </x:row>
    <x:row r="184">
      <x:c r="A184" s="29" t="str">
        <x:f>IF(B184="","",ROW()-4)</x:f>
      </x:c>
      <x:c r="B184" s="30"/>
      <x:c r="C184" s="30"/>
      <x:c r="D184" s="33"/>
      <x:c r="E184" s="33"/>
      <x:c r="F184" s="33"/>
      <x:c r="G184" s="31"/>
      <x:c r="H184" s="32" t="str">
        <x:f>IF(G184="","",G184+'設定・使い方'!$B$4)</x:f>
      </x:c>
      <x:c r="I184" s="31"/>
      <x:c r="J184" s="30" t="str">
        <x:v>未返信</x:v>
      </x:c>
      <x:c r="K184" s="30" t="str">
        <x:v>いいえ</x:v>
      </x:c>
      <x:c r="L184" s="29" t="str">
        <x:f>IF(B184="","",IF(K184="はい","送信禁止",IF(J184="成約","成約",IF(OR(J184="返信あり",J184="検討中",J184="不要"),"返信あり",IF(G184="","未送信",IF(I184&lt;&gt;"","追客済み",IF(TODAY()&gt;=H184,"追客対象","初回送信済み")))))))</x:f>
      </x:c>
      <x:c r="M184" s="29" t="str">
        <x:f>IF(B184="","",IF(K184="はい","送信しない",IF(J184="成約","対応完了",IF(J184="返信あり","返信対応",IF(J184="検討中","状況確認",IF(J184="不要","対応終了",IF(G184="","初回メール",IF(I184&lt;&gt;"","追客完了",IF(TODAY()&gt;=H184,"追客メール","待機")))))))))</x:f>
      </x:c>
    </x:row>
    <x:row r="185">
      <x:c r="A185" s="29" t="str">
        <x:f>IF(B185="","",ROW()-4)</x:f>
      </x:c>
      <x:c r="B185" s="30"/>
      <x:c r="C185" s="30"/>
      <x:c r="D185" s="33"/>
      <x:c r="E185" s="33"/>
      <x:c r="F185" s="33"/>
      <x:c r="G185" s="31"/>
      <x:c r="H185" s="32" t="str">
        <x:f>IF(G185="","",G185+'設定・使い方'!$B$4)</x:f>
      </x:c>
      <x:c r="I185" s="31"/>
      <x:c r="J185" s="30" t="str">
        <x:v>未返信</x:v>
      </x:c>
      <x:c r="K185" s="30" t="str">
        <x:v>いいえ</x:v>
      </x:c>
      <x:c r="L185" s="29" t="str">
        <x:f>IF(B185="","",IF(K185="はい","送信禁止",IF(J185="成約","成約",IF(OR(J185="返信あり",J185="検討中",J185="不要"),"返信あり",IF(G185="","未送信",IF(I185&lt;&gt;"","追客済み",IF(TODAY()&gt;=H185,"追客対象","初回送信済み")))))))</x:f>
      </x:c>
      <x:c r="M185" s="29" t="str">
        <x:f>IF(B185="","",IF(K185="はい","送信しない",IF(J185="成約","対応完了",IF(J185="返信あり","返信対応",IF(J185="検討中","状況確認",IF(J185="不要","対応終了",IF(G185="","初回メール",IF(I185&lt;&gt;"","追客完了",IF(TODAY()&gt;=H185,"追客メール","待機")))))))))</x:f>
      </x:c>
    </x:row>
    <x:row r="186">
      <x:c r="A186" s="29" t="str">
        <x:f>IF(B186="","",ROW()-4)</x:f>
      </x:c>
      <x:c r="B186" s="30"/>
      <x:c r="C186" s="30"/>
      <x:c r="D186" s="33"/>
      <x:c r="E186" s="33"/>
      <x:c r="F186" s="33"/>
      <x:c r="G186" s="31"/>
      <x:c r="H186" s="32" t="str">
        <x:f>IF(G186="","",G186+'設定・使い方'!$B$4)</x:f>
      </x:c>
      <x:c r="I186" s="31"/>
      <x:c r="J186" s="30" t="str">
        <x:v>未返信</x:v>
      </x:c>
      <x:c r="K186" s="30" t="str">
        <x:v>いいえ</x:v>
      </x:c>
      <x:c r="L186" s="29" t="str">
        <x:f>IF(B186="","",IF(K186="はい","送信禁止",IF(J186="成約","成約",IF(OR(J186="返信あり",J186="検討中",J186="不要"),"返信あり",IF(G186="","未送信",IF(I186&lt;&gt;"","追客済み",IF(TODAY()&gt;=H186,"追客対象","初回送信済み")))))))</x:f>
      </x:c>
      <x:c r="M186" s="29" t="str">
        <x:f>IF(B186="","",IF(K186="はい","送信しない",IF(J186="成約","対応完了",IF(J186="返信あり","返信対応",IF(J186="検討中","状況確認",IF(J186="不要","対応終了",IF(G186="","初回メール",IF(I186&lt;&gt;"","追客完了",IF(TODAY()&gt;=H186,"追客メール","待機")))))))))</x:f>
      </x:c>
    </x:row>
    <x:row r="187">
      <x:c r="A187" s="29" t="str">
        <x:f>IF(B187="","",ROW()-4)</x:f>
      </x:c>
      <x:c r="B187" s="30"/>
      <x:c r="C187" s="30"/>
      <x:c r="D187" s="33"/>
      <x:c r="E187" s="33"/>
      <x:c r="F187" s="33"/>
      <x:c r="G187" s="31"/>
      <x:c r="H187" s="32" t="str">
        <x:f>IF(G187="","",G187+'設定・使い方'!$B$4)</x:f>
      </x:c>
      <x:c r="I187" s="31"/>
      <x:c r="J187" s="30" t="str">
        <x:v>未返信</x:v>
      </x:c>
      <x:c r="K187" s="30" t="str">
        <x:v>いいえ</x:v>
      </x:c>
      <x:c r="L187" s="29" t="str">
        <x:f>IF(B187="","",IF(K187="はい","送信禁止",IF(J187="成約","成約",IF(OR(J187="返信あり",J187="検討中",J187="不要"),"返信あり",IF(G187="","未送信",IF(I187&lt;&gt;"","追客済み",IF(TODAY()&gt;=H187,"追客対象","初回送信済み")))))))</x:f>
      </x:c>
      <x:c r="M187" s="29" t="str">
        <x:f>IF(B187="","",IF(K187="はい","送信しない",IF(J187="成約","対応完了",IF(J187="返信あり","返信対応",IF(J187="検討中","状況確認",IF(J187="不要","対応終了",IF(G187="","初回メール",IF(I187&lt;&gt;"","追客完了",IF(TODAY()&gt;=H187,"追客メール","待機")))))))))</x:f>
      </x:c>
    </x:row>
    <x:row r="188">
      <x:c r="A188" s="29" t="str">
        <x:f>IF(B188="","",ROW()-4)</x:f>
      </x:c>
      <x:c r="B188" s="30"/>
      <x:c r="C188" s="30"/>
      <x:c r="D188" s="33"/>
      <x:c r="E188" s="33"/>
      <x:c r="F188" s="33"/>
      <x:c r="G188" s="31"/>
      <x:c r="H188" s="32" t="str">
        <x:f>IF(G188="","",G188+'設定・使い方'!$B$4)</x:f>
      </x:c>
      <x:c r="I188" s="31"/>
      <x:c r="J188" s="30" t="str">
        <x:v>未返信</x:v>
      </x:c>
      <x:c r="K188" s="30" t="str">
        <x:v>いいえ</x:v>
      </x:c>
      <x:c r="L188" s="29" t="str">
        <x:f>IF(B188="","",IF(K188="はい","送信禁止",IF(J188="成約","成約",IF(OR(J188="返信あり",J188="検討中",J188="不要"),"返信あり",IF(G188="","未送信",IF(I188&lt;&gt;"","追客済み",IF(TODAY()&gt;=H188,"追客対象","初回送信済み")))))))</x:f>
      </x:c>
      <x:c r="M188" s="29" t="str">
        <x:f>IF(B188="","",IF(K188="はい","送信しない",IF(J188="成約","対応完了",IF(J188="返信あり","返信対応",IF(J188="検討中","状況確認",IF(J188="不要","対応終了",IF(G188="","初回メール",IF(I188&lt;&gt;"","追客完了",IF(TODAY()&gt;=H188,"追客メール","待機")))))))))</x:f>
      </x:c>
    </x:row>
    <x:row r="189">
      <x:c r="A189" s="29" t="str">
        <x:f>IF(B189="","",ROW()-4)</x:f>
      </x:c>
      <x:c r="B189" s="30"/>
      <x:c r="C189" s="30"/>
      <x:c r="D189" s="33"/>
      <x:c r="E189" s="33"/>
      <x:c r="F189" s="33"/>
      <x:c r="G189" s="31"/>
      <x:c r="H189" s="32" t="str">
        <x:f>IF(G189="","",G189+'設定・使い方'!$B$4)</x:f>
      </x:c>
      <x:c r="I189" s="31"/>
      <x:c r="J189" s="30" t="str">
        <x:v>未返信</x:v>
      </x:c>
      <x:c r="K189" s="30" t="str">
        <x:v>いいえ</x:v>
      </x:c>
      <x:c r="L189" s="29" t="str">
        <x:f>IF(B189="","",IF(K189="はい","送信禁止",IF(J189="成約","成約",IF(OR(J189="返信あり",J189="検討中",J189="不要"),"返信あり",IF(G189="","未送信",IF(I189&lt;&gt;"","追客済み",IF(TODAY()&gt;=H189,"追客対象","初回送信済み")))))))</x:f>
      </x:c>
      <x:c r="M189" s="29" t="str">
        <x:f>IF(B189="","",IF(K189="はい","送信しない",IF(J189="成約","対応完了",IF(J189="返信あり","返信対応",IF(J189="検討中","状況確認",IF(J189="不要","対応終了",IF(G189="","初回メール",IF(I189&lt;&gt;"","追客完了",IF(TODAY()&gt;=H189,"追客メール","待機")))))))))</x:f>
      </x:c>
    </x:row>
    <x:row r="190">
      <x:c r="A190" s="29" t="str">
        <x:f>IF(B190="","",ROW()-4)</x:f>
      </x:c>
      <x:c r="B190" s="30"/>
      <x:c r="C190" s="30"/>
      <x:c r="D190" s="33"/>
      <x:c r="E190" s="33"/>
      <x:c r="F190" s="33"/>
      <x:c r="G190" s="31"/>
      <x:c r="H190" s="32" t="str">
        <x:f>IF(G190="","",G190+'設定・使い方'!$B$4)</x:f>
      </x:c>
      <x:c r="I190" s="31"/>
      <x:c r="J190" s="30" t="str">
        <x:v>未返信</x:v>
      </x:c>
      <x:c r="K190" s="30" t="str">
        <x:v>いいえ</x:v>
      </x:c>
      <x:c r="L190" s="29" t="str">
        <x:f>IF(B190="","",IF(K190="はい","送信禁止",IF(J190="成約","成約",IF(OR(J190="返信あり",J190="検討中",J190="不要"),"返信あり",IF(G190="","未送信",IF(I190&lt;&gt;"","追客済み",IF(TODAY()&gt;=H190,"追客対象","初回送信済み")))))))</x:f>
      </x:c>
      <x:c r="M190" s="29" t="str">
        <x:f>IF(B190="","",IF(K190="はい","送信しない",IF(J190="成約","対応完了",IF(J190="返信あり","返信対応",IF(J190="検討中","状況確認",IF(J190="不要","対応終了",IF(G190="","初回メール",IF(I190&lt;&gt;"","追客完了",IF(TODAY()&gt;=H190,"追客メール","待機")))))))))</x:f>
      </x:c>
    </x:row>
    <x:row r="191">
      <x:c r="A191" s="29" t="str">
        <x:f>IF(B191="","",ROW()-4)</x:f>
      </x:c>
      <x:c r="B191" s="30"/>
      <x:c r="C191" s="30"/>
      <x:c r="D191" s="33"/>
      <x:c r="E191" s="33"/>
      <x:c r="F191" s="33"/>
      <x:c r="G191" s="31"/>
      <x:c r="H191" s="32" t="str">
        <x:f>IF(G191="","",G191+'設定・使い方'!$B$4)</x:f>
      </x:c>
      <x:c r="I191" s="31"/>
      <x:c r="J191" s="30" t="str">
        <x:v>未返信</x:v>
      </x:c>
      <x:c r="K191" s="30" t="str">
        <x:v>いいえ</x:v>
      </x:c>
      <x:c r="L191" s="29" t="str">
        <x:f>IF(B191="","",IF(K191="はい","送信禁止",IF(J191="成約","成約",IF(OR(J191="返信あり",J191="検討中",J191="不要"),"返信あり",IF(G191="","未送信",IF(I191&lt;&gt;"","追客済み",IF(TODAY()&gt;=H191,"追客対象","初回送信済み")))))))</x:f>
      </x:c>
      <x:c r="M191" s="29" t="str">
        <x:f>IF(B191="","",IF(K191="はい","送信しない",IF(J191="成約","対応完了",IF(J191="返信あり","返信対応",IF(J191="検討中","状況確認",IF(J191="不要","対応終了",IF(G191="","初回メール",IF(I191&lt;&gt;"","追客完了",IF(TODAY()&gt;=H191,"追客メール","待機")))))))))</x:f>
      </x:c>
    </x:row>
    <x:row r="192">
      <x:c r="A192" s="29" t="str">
        <x:f>IF(B192="","",ROW()-4)</x:f>
      </x:c>
      <x:c r="B192" s="30"/>
      <x:c r="C192" s="30"/>
      <x:c r="D192" s="33"/>
      <x:c r="E192" s="33"/>
      <x:c r="F192" s="33"/>
      <x:c r="G192" s="31"/>
      <x:c r="H192" s="32" t="str">
        <x:f>IF(G192="","",G192+'設定・使い方'!$B$4)</x:f>
      </x:c>
      <x:c r="I192" s="31"/>
      <x:c r="J192" s="30" t="str">
        <x:v>未返信</x:v>
      </x:c>
      <x:c r="K192" s="30" t="str">
        <x:v>いいえ</x:v>
      </x:c>
      <x:c r="L192" s="29" t="str">
        <x:f>IF(B192="","",IF(K192="はい","送信禁止",IF(J192="成約","成約",IF(OR(J192="返信あり",J192="検討中",J192="不要"),"返信あり",IF(G192="","未送信",IF(I192&lt;&gt;"","追客済み",IF(TODAY()&gt;=H192,"追客対象","初回送信済み")))))))</x:f>
      </x:c>
      <x:c r="M192" s="29" t="str">
        <x:f>IF(B192="","",IF(K192="はい","送信しない",IF(J192="成約","対応完了",IF(J192="返信あり","返信対応",IF(J192="検討中","状況確認",IF(J192="不要","対応終了",IF(G192="","初回メール",IF(I192&lt;&gt;"","追客完了",IF(TODAY()&gt;=H192,"追客メール","待機")))))))))</x:f>
      </x:c>
    </x:row>
    <x:row r="193">
      <x:c r="A193" s="29" t="str">
        <x:f>IF(B193="","",ROW()-4)</x:f>
      </x:c>
      <x:c r="B193" s="30"/>
      <x:c r="C193" s="30"/>
      <x:c r="D193" s="33"/>
      <x:c r="E193" s="33"/>
      <x:c r="F193" s="33"/>
      <x:c r="G193" s="31"/>
      <x:c r="H193" s="32" t="str">
        <x:f>IF(G193="","",G193+'設定・使い方'!$B$4)</x:f>
      </x:c>
      <x:c r="I193" s="31"/>
      <x:c r="J193" s="30" t="str">
        <x:v>未返信</x:v>
      </x:c>
      <x:c r="K193" s="30" t="str">
        <x:v>いいえ</x:v>
      </x:c>
      <x:c r="L193" s="29" t="str">
        <x:f>IF(B193="","",IF(K193="はい","送信禁止",IF(J193="成約","成約",IF(OR(J193="返信あり",J193="検討中",J193="不要"),"返信あり",IF(G193="","未送信",IF(I193&lt;&gt;"","追客済み",IF(TODAY()&gt;=H193,"追客対象","初回送信済み")))))))</x:f>
      </x:c>
      <x:c r="M193" s="29" t="str">
        <x:f>IF(B193="","",IF(K193="はい","送信しない",IF(J193="成約","対応完了",IF(J193="返信あり","返信対応",IF(J193="検討中","状況確認",IF(J193="不要","対応終了",IF(G193="","初回メール",IF(I193&lt;&gt;"","追客完了",IF(TODAY()&gt;=H193,"追客メール","待機")))))))))</x:f>
      </x:c>
    </x:row>
    <x:row r="194">
      <x:c r="A194" s="29" t="str">
        <x:f>IF(B194="","",ROW()-4)</x:f>
      </x:c>
      <x:c r="B194" s="30"/>
      <x:c r="C194" s="30"/>
      <x:c r="D194" s="33"/>
      <x:c r="E194" s="33"/>
      <x:c r="F194" s="33"/>
      <x:c r="G194" s="31"/>
      <x:c r="H194" s="32" t="str">
        <x:f>IF(G194="","",G194+'設定・使い方'!$B$4)</x:f>
      </x:c>
      <x:c r="I194" s="31"/>
      <x:c r="J194" s="30" t="str">
        <x:v>未返信</x:v>
      </x:c>
      <x:c r="K194" s="30" t="str">
        <x:v>いいえ</x:v>
      </x:c>
      <x:c r="L194" s="29" t="str">
        <x:f>IF(B194="","",IF(K194="はい","送信禁止",IF(J194="成約","成約",IF(OR(J194="返信あり",J194="検討中",J194="不要"),"返信あり",IF(G194="","未送信",IF(I194&lt;&gt;"","追客済み",IF(TODAY()&gt;=H194,"追客対象","初回送信済み")))))))</x:f>
      </x:c>
      <x:c r="M194" s="29" t="str">
        <x:f>IF(B194="","",IF(K194="はい","送信しない",IF(J194="成約","対応完了",IF(J194="返信あり","返信対応",IF(J194="検討中","状況確認",IF(J194="不要","対応終了",IF(G194="","初回メール",IF(I194&lt;&gt;"","追客完了",IF(TODAY()&gt;=H194,"追客メール","待機")))))))))</x:f>
      </x:c>
    </x:row>
    <x:row r="195">
      <x:c r="A195" s="29" t="str">
        <x:f>IF(B195="","",ROW()-4)</x:f>
      </x:c>
      <x:c r="B195" s="30"/>
      <x:c r="C195" s="30"/>
      <x:c r="D195" s="33"/>
      <x:c r="E195" s="33"/>
      <x:c r="F195" s="33"/>
      <x:c r="G195" s="31"/>
      <x:c r="H195" s="32" t="str">
        <x:f>IF(G195="","",G195+'設定・使い方'!$B$4)</x:f>
      </x:c>
      <x:c r="I195" s="31"/>
      <x:c r="J195" s="30" t="str">
        <x:v>未返信</x:v>
      </x:c>
      <x:c r="K195" s="30" t="str">
        <x:v>いいえ</x:v>
      </x:c>
      <x:c r="L195" s="29" t="str">
        <x:f>IF(B195="","",IF(K195="はい","送信禁止",IF(J195="成約","成約",IF(OR(J195="返信あり",J195="検討中",J195="不要"),"返信あり",IF(G195="","未送信",IF(I195&lt;&gt;"","追客済み",IF(TODAY()&gt;=H195,"追客対象","初回送信済み")))))))</x:f>
      </x:c>
      <x:c r="M195" s="29" t="str">
        <x:f>IF(B195="","",IF(K195="はい","送信しない",IF(J195="成約","対応完了",IF(J195="返信あり","返信対応",IF(J195="検討中","状況確認",IF(J195="不要","対応終了",IF(G195="","初回メール",IF(I195&lt;&gt;"","追客完了",IF(TODAY()&gt;=H195,"追客メール","待機")))))))))</x:f>
      </x:c>
    </x:row>
    <x:row r="196">
      <x:c r="A196" s="29" t="str">
        <x:f>IF(B196="","",ROW()-4)</x:f>
      </x:c>
      <x:c r="B196" s="30"/>
      <x:c r="C196" s="30"/>
      <x:c r="D196" s="33"/>
      <x:c r="E196" s="33"/>
      <x:c r="F196" s="33"/>
      <x:c r="G196" s="31"/>
      <x:c r="H196" s="32" t="str">
        <x:f>IF(G196="","",G196+'設定・使い方'!$B$4)</x:f>
      </x:c>
      <x:c r="I196" s="31"/>
      <x:c r="J196" s="30" t="str">
        <x:v>未返信</x:v>
      </x:c>
      <x:c r="K196" s="30" t="str">
        <x:v>いいえ</x:v>
      </x:c>
      <x:c r="L196" s="29" t="str">
        <x:f>IF(B196="","",IF(K196="はい","送信禁止",IF(J196="成約","成約",IF(OR(J196="返信あり",J196="検討中",J196="不要"),"返信あり",IF(G196="","未送信",IF(I196&lt;&gt;"","追客済み",IF(TODAY()&gt;=H196,"追客対象","初回送信済み")))))))</x:f>
      </x:c>
      <x:c r="M196" s="29" t="str">
        <x:f>IF(B196="","",IF(K196="はい","送信しない",IF(J196="成約","対応完了",IF(J196="返信あり","返信対応",IF(J196="検討中","状況確認",IF(J196="不要","対応終了",IF(G196="","初回メール",IF(I196&lt;&gt;"","追客完了",IF(TODAY()&gt;=H196,"追客メール","待機")))))))))</x:f>
      </x:c>
    </x:row>
    <x:row r="197">
      <x:c r="A197" s="29" t="str">
        <x:f>IF(B197="","",ROW()-4)</x:f>
      </x:c>
      <x:c r="B197" s="30"/>
      <x:c r="C197" s="30"/>
      <x:c r="D197" s="33"/>
      <x:c r="E197" s="33"/>
      <x:c r="F197" s="33"/>
      <x:c r="G197" s="31"/>
      <x:c r="H197" s="32" t="str">
        <x:f>IF(G197="","",G197+'設定・使い方'!$B$4)</x:f>
      </x:c>
      <x:c r="I197" s="31"/>
      <x:c r="J197" s="30" t="str">
        <x:v>未返信</x:v>
      </x:c>
      <x:c r="K197" s="30" t="str">
        <x:v>いいえ</x:v>
      </x:c>
      <x:c r="L197" s="29" t="str">
        <x:f>IF(B197="","",IF(K197="はい","送信禁止",IF(J197="成約","成約",IF(OR(J197="返信あり",J197="検討中",J197="不要"),"返信あり",IF(G197="","未送信",IF(I197&lt;&gt;"","追客済み",IF(TODAY()&gt;=H197,"追客対象","初回送信済み")))))))</x:f>
      </x:c>
      <x:c r="M197" s="29" t="str">
        <x:f>IF(B197="","",IF(K197="はい","送信しない",IF(J197="成約","対応完了",IF(J197="返信あり","返信対応",IF(J197="検討中","状況確認",IF(J197="不要","対応終了",IF(G197="","初回メール",IF(I197&lt;&gt;"","追客完了",IF(TODAY()&gt;=H197,"追客メール","待機")))))))))</x:f>
      </x:c>
    </x:row>
    <x:row r="198">
      <x:c r="A198" s="29" t="str">
        <x:f>IF(B198="","",ROW()-4)</x:f>
      </x:c>
      <x:c r="B198" s="30"/>
      <x:c r="C198" s="30"/>
      <x:c r="D198" s="33"/>
      <x:c r="E198" s="33"/>
      <x:c r="F198" s="33"/>
      <x:c r="G198" s="31"/>
      <x:c r="H198" s="32" t="str">
        <x:f>IF(G198="","",G198+'設定・使い方'!$B$4)</x:f>
      </x:c>
      <x:c r="I198" s="31"/>
      <x:c r="J198" s="30" t="str">
        <x:v>未返信</x:v>
      </x:c>
      <x:c r="K198" s="30" t="str">
        <x:v>いいえ</x:v>
      </x:c>
      <x:c r="L198" s="29" t="str">
        <x:f>IF(B198="","",IF(K198="はい","送信禁止",IF(J198="成約","成約",IF(OR(J198="返信あり",J198="検討中",J198="不要"),"返信あり",IF(G198="","未送信",IF(I198&lt;&gt;"","追客済み",IF(TODAY()&gt;=H198,"追客対象","初回送信済み")))))))</x:f>
      </x:c>
      <x:c r="M198" s="29" t="str">
        <x:f>IF(B198="","",IF(K198="はい","送信しない",IF(J198="成約","対応完了",IF(J198="返信あり","返信対応",IF(J198="検討中","状況確認",IF(J198="不要","対応終了",IF(G198="","初回メール",IF(I198&lt;&gt;"","追客完了",IF(TODAY()&gt;=H198,"追客メール","待機")))))))))</x:f>
      </x:c>
    </x:row>
    <x:row r="199">
      <x:c r="A199" s="29" t="str">
        <x:f>IF(B199="","",ROW()-4)</x:f>
      </x:c>
      <x:c r="B199" s="30"/>
      <x:c r="C199" s="30"/>
      <x:c r="D199" s="33"/>
      <x:c r="E199" s="33"/>
      <x:c r="F199" s="33"/>
      <x:c r="G199" s="31"/>
      <x:c r="H199" s="32" t="str">
        <x:f>IF(G199="","",G199+'設定・使い方'!$B$4)</x:f>
      </x:c>
      <x:c r="I199" s="31"/>
      <x:c r="J199" s="30" t="str">
        <x:v>未返信</x:v>
      </x:c>
      <x:c r="K199" s="30" t="str">
        <x:v>いいえ</x:v>
      </x:c>
      <x:c r="L199" s="29" t="str">
        <x:f>IF(B199="","",IF(K199="はい","送信禁止",IF(J199="成約","成約",IF(OR(J199="返信あり",J199="検討中",J199="不要"),"返信あり",IF(G199="","未送信",IF(I199&lt;&gt;"","追客済み",IF(TODAY()&gt;=H199,"追客対象","初回送信済み")))))))</x:f>
      </x:c>
      <x:c r="M199" s="29" t="str">
        <x:f>IF(B199="","",IF(K199="はい","送信しない",IF(J199="成約","対応完了",IF(J199="返信あり","返信対応",IF(J199="検討中","状況確認",IF(J199="不要","対応終了",IF(G199="","初回メール",IF(I199&lt;&gt;"","追客完了",IF(TODAY()&gt;=H199,"追客メール","待機")))))))))</x:f>
      </x:c>
    </x:row>
    <x:row r="200">
      <x:c r="A200" s="29" t="str">
        <x:f>IF(B200="","",ROW()-4)</x:f>
      </x:c>
      <x:c r="B200" s="30"/>
      <x:c r="C200" s="30"/>
      <x:c r="D200" s="33"/>
      <x:c r="E200" s="33"/>
      <x:c r="F200" s="33"/>
      <x:c r="G200" s="31"/>
      <x:c r="H200" s="32" t="str">
        <x:f>IF(G200="","",G200+'設定・使い方'!$B$4)</x:f>
      </x:c>
      <x:c r="I200" s="31"/>
      <x:c r="J200" s="30" t="str">
        <x:v>未返信</x:v>
      </x:c>
      <x:c r="K200" s="30" t="str">
        <x:v>いいえ</x:v>
      </x:c>
      <x:c r="L200" s="29" t="str">
        <x:f>IF(B200="","",IF(K200="はい","送信禁止",IF(J200="成約","成約",IF(OR(J200="返信あり",J200="検討中",J200="不要"),"返信あり",IF(G200="","未送信",IF(I200&lt;&gt;"","追客済み",IF(TODAY()&gt;=H200,"追客対象","初回送信済み")))))))</x:f>
      </x:c>
      <x:c r="M200" s="29" t="str">
        <x:f>IF(B200="","",IF(K200="はい","送信しない",IF(J200="成約","対応完了",IF(J200="返信あり","返信対応",IF(J200="検討中","状況確認",IF(J200="不要","対応終了",IF(G200="","初回メール",IF(I200&lt;&gt;"","追客完了",IF(TODAY()&gt;=H200,"追客メール","待機")))))))))</x:f>
      </x:c>
    </x:row>
    <x:row r="201">
      <x:c r="A201" s="29" t="str">
        <x:f>IF(B201="","",ROW()-4)</x:f>
      </x:c>
      <x:c r="B201" s="30"/>
      <x:c r="C201" s="30"/>
      <x:c r="D201" s="33"/>
      <x:c r="E201" s="33"/>
      <x:c r="F201" s="33"/>
      <x:c r="G201" s="31"/>
      <x:c r="H201" s="32" t="str">
        <x:f>IF(G201="","",G201+'設定・使い方'!$B$4)</x:f>
      </x:c>
      <x:c r="I201" s="31"/>
      <x:c r="J201" s="30" t="str">
        <x:v>未返信</x:v>
      </x:c>
      <x:c r="K201" s="30" t="str">
        <x:v>いいえ</x:v>
      </x:c>
      <x:c r="L201" s="29" t="str">
        <x:f>IF(B201="","",IF(K201="はい","送信禁止",IF(J201="成約","成約",IF(OR(J201="返信あり",J201="検討中",J201="不要"),"返信あり",IF(G201="","未送信",IF(I201&lt;&gt;"","追客済み",IF(TODAY()&gt;=H201,"追客対象","初回送信済み")))))))</x:f>
      </x:c>
      <x:c r="M201" s="29" t="str">
        <x:f>IF(B201="","",IF(K201="はい","送信しない",IF(J201="成約","対応完了",IF(J201="返信あり","返信対応",IF(J201="検討中","状況確認",IF(J201="不要","対応終了",IF(G201="","初回メール",IF(I201&lt;&gt;"","追客完了",IF(TODAY()&gt;=H201,"追客メール","待機")))))))))</x:f>
      </x:c>
    </x:row>
    <x:row r="202">
      <x:c r="A202" s="29" t="str">
        <x:f>IF(B202="","",ROW()-4)</x:f>
      </x:c>
      <x:c r="B202" s="30"/>
      <x:c r="C202" s="30"/>
      <x:c r="D202" s="33"/>
      <x:c r="E202" s="33"/>
      <x:c r="F202" s="33"/>
      <x:c r="G202" s="31"/>
      <x:c r="H202" s="32" t="str">
        <x:f>IF(G202="","",G202+'設定・使い方'!$B$4)</x:f>
      </x:c>
      <x:c r="I202" s="31"/>
      <x:c r="J202" s="30" t="str">
        <x:v>未返信</x:v>
      </x:c>
      <x:c r="K202" s="30" t="str">
        <x:v>いいえ</x:v>
      </x:c>
      <x:c r="L202" s="29" t="str">
        <x:f>IF(B202="","",IF(K202="はい","送信禁止",IF(J202="成約","成約",IF(OR(J202="返信あり",J202="検討中",J202="不要"),"返信あり",IF(G202="","未送信",IF(I202&lt;&gt;"","追客済み",IF(TODAY()&gt;=H202,"追客対象","初回送信済み")))))))</x:f>
      </x:c>
      <x:c r="M202" s="29" t="str">
        <x:f>IF(B202="","",IF(K202="はい","送信しない",IF(J202="成約","対応完了",IF(J202="返信あり","返信対応",IF(J202="検討中","状況確認",IF(J202="不要","対応終了",IF(G202="","初回メール",IF(I202&lt;&gt;"","追客完了",IF(TODAY()&gt;=H202,"追客メール","待機")))))))))</x:f>
      </x:c>
    </x:row>
    <x:row r="203">
      <x:c r="A203" s="29" t="str">
        <x:f>IF(B203="","",ROW()-4)</x:f>
      </x:c>
      <x:c r="B203" s="30"/>
      <x:c r="C203" s="30"/>
      <x:c r="D203" s="33"/>
      <x:c r="E203" s="33"/>
      <x:c r="F203" s="33"/>
      <x:c r="G203" s="31"/>
      <x:c r="H203" s="32" t="str">
        <x:f>IF(G203="","",G203+'設定・使い方'!$B$4)</x:f>
      </x:c>
      <x:c r="I203" s="31"/>
      <x:c r="J203" s="30" t="str">
        <x:v>未返信</x:v>
      </x:c>
      <x:c r="K203" s="30" t="str">
        <x:v>いいえ</x:v>
      </x:c>
      <x:c r="L203" s="29" t="str">
        <x:f>IF(B203="","",IF(K203="はい","送信禁止",IF(J203="成約","成約",IF(OR(J203="返信あり",J203="検討中",J203="不要"),"返信あり",IF(G203="","未送信",IF(I203&lt;&gt;"","追客済み",IF(TODAY()&gt;=H203,"追客対象","初回送信済み")))))))</x:f>
      </x:c>
      <x:c r="M203" s="29" t="str">
        <x:f>IF(B203="","",IF(K203="はい","送信しない",IF(J203="成約","対応完了",IF(J203="返信あり","返信対応",IF(J203="検討中","状況確認",IF(J203="不要","対応終了",IF(G203="","初回メール",IF(I203&lt;&gt;"","追客完了",IF(TODAY()&gt;=H203,"追客メール","待機")))))))))</x:f>
      </x:c>
    </x:row>
    <x:row r="204">
      <x:c r="A204" s="29" t="str">
        <x:f>IF(B204="","",ROW()-4)</x:f>
      </x:c>
      <x:c r="B204" s="30"/>
      <x:c r="C204" s="30"/>
      <x:c r="D204" s="33"/>
      <x:c r="E204" s="33"/>
      <x:c r="F204" s="33"/>
      <x:c r="G204" s="31"/>
      <x:c r="H204" s="32" t="str">
        <x:f>IF(G204="","",G204+'設定・使い方'!$B$4)</x:f>
      </x:c>
      <x:c r="I204" s="31"/>
      <x:c r="J204" s="30" t="str">
        <x:v>未返信</x:v>
      </x:c>
      <x:c r="K204" s="30" t="str">
        <x:v>いいえ</x:v>
      </x:c>
      <x:c r="L204" s="29" t="str">
        <x:f>IF(B204="","",IF(K204="はい","送信禁止",IF(J204="成約","成約",IF(OR(J204="返信あり",J204="検討中",J204="不要"),"返信あり",IF(G204="","未送信",IF(I204&lt;&gt;"","追客済み",IF(TODAY()&gt;=H204,"追客対象","初回送信済み")))))))</x:f>
      </x:c>
      <x:c r="M204" s="29" t="str">
        <x:f>IF(B204="","",IF(K204="はい","送信しない",IF(J204="成約","対応完了",IF(J204="返信あり","返信対応",IF(J204="検討中","状況確認",IF(J204="不要","対応終了",IF(G204="","初回メール",IF(I204&lt;&gt;"","追客完了",IF(TODAY()&gt;=H204,"追客メール","待機")))))))))</x:f>
      </x:c>
    </x:row>
  </x:sheetData>
  <x:mergeCells>
    <x:mergeCell ref="A1:M1"/>
    <x:mergeCell ref="A2:M2"/>
  </x:mergeCells>
  <x:conditionalFormatting sqref="A5:M204">
    <x:cfRule type="expression" dxfId="0" priority="1">
      <x:formula>$K5="はい"</x:formula>
    </x:cfRule>
    <x:cfRule type="expression" dxfId="1" priority="2">
      <x:formula>OR($L5="未送信",$L5="追客対象")</x:formula>
    </x:cfRule>
    <x:cfRule type="expression" dxfId="2" priority="3">
      <x:formula>OR($L5="返信あり",$L5="成約")</x:formula>
    </x:cfRule>
  </x:conditionalFormatting>
  <x:dataValidations count="2">
    <x:dataValidation type="list" sqref="J5:J204">
      <x:formula1>"未返信,返信あり,検討中,成約,不要"</x:formula1>
    </x:dataValidation>
    <x:dataValidation type="list" sqref="K5:K204">
      <x:formula1>"いいえ,はい"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c0638aa7524f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34" hidden="0" customWidth="1"/>
    <x:col min="4" max="4" width="30" hidden="0" customWidth="1"/>
    <x:col min="5" max="5" width="18" hidden="0" customWidth="1"/>
  </x:cols>
  <x:sheetData>
    <x:row r="1" ht="34" customHeight="1">
      <x:c r="A1" s="3" t="str">
        <x:v>整骨院web｜送信禁止リスト</x:v>
      </x:c>
      <x:c r="B1" s="3"/>
      <x:c r="C1" s="3"/>
      <x:c r="D1" s="3"/>
      <x:c r="E1" s="3"/>
    </x:row>
    <x:row r="2">
      <x:c r="A2" s="49" t="str">
        <x:v>営業名簿で「営業拒否＝はい」にした院が自動表示されます。ここに表示された院へは送信しません。</x:v>
      </x:c>
      <x:c r="B2" s="49"/>
      <x:c r="C2" s="49"/>
      <x:c r="D2" s="49"/>
      <x:c r="E2" s="49"/>
    </x:row>
    <x:row r="4">
      <x:c r="A4" s="51" t="str">
        <x:v>ID</x:v>
      </x:c>
      <x:c r="B4" s="74" t="str">
        <x:v>院名</x:v>
      </x:c>
      <x:c r="C4" s="74" t="str">
        <x:v>サイトURL</x:v>
      </x:c>
      <x:c r="D4" s="74" t="str">
        <x:v>メールアドレス</x:v>
      </x:c>
      <x:c r="E4" s="52" t="str">
        <x:v>次の対応</x:v>
      </x:c>
    </x:row>
    <x:row r="5">
      <x:c r="A5" s="75" t="str">
        <x:f>_xlfn._xlws.FILTER(CHOOSE({1,2,3,4,5},'営業名簿'!A5:A204,'営業名簿'!B5:B204,'営業名簿'!D5:D204,'営業名簿'!E5:E204,'営業名簿'!M5:M204),'営業名簿'!K5:K204="はい","なし")</x:f>
        <x:v>なし</x:v>
      </x:c>
      <x:c r="B5" s="76"/>
      <x:c r="C5" s="76"/>
      <x:c r="D5" s="76"/>
      <x:c r="E5" s="77"/>
    </x:row>
    <x:row r="6">
      <x:c r="A6" s="75"/>
      <x:c r="B6" s="76"/>
      <x:c r="C6" s="76"/>
      <x:c r="D6" s="76"/>
      <x:c r="E6" s="77"/>
    </x:row>
    <x:row r="7">
      <x:c r="A7" s="75"/>
      <x:c r="B7" s="76"/>
      <x:c r="C7" s="76"/>
      <x:c r="D7" s="76"/>
      <x:c r="E7" s="77"/>
    </x:row>
    <x:row r="8">
      <x:c r="A8" s="75"/>
      <x:c r="B8" s="76"/>
      <x:c r="C8" s="76"/>
      <x:c r="D8" s="76"/>
      <x:c r="E8" s="77"/>
    </x:row>
    <x:row r="9">
      <x:c r="A9" s="75"/>
      <x:c r="B9" s="76"/>
      <x:c r="C9" s="76"/>
      <x:c r="D9" s="76"/>
      <x:c r="E9" s="77"/>
    </x:row>
    <x:row r="10">
      <x:c r="A10" s="75"/>
      <x:c r="B10" s="76"/>
      <x:c r="C10" s="76"/>
      <x:c r="D10" s="76"/>
      <x:c r="E10" s="77"/>
    </x:row>
    <x:row r="11">
      <x:c r="A11" s="75"/>
      <x:c r="B11" s="76"/>
      <x:c r="C11" s="76"/>
      <x:c r="D11" s="76"/>
      <x:c r="E11" s="77"/>
    </x:row>
    <x:row r="12">
      <x:c r="A12" s="75"/>
      <x:c r="B12" s="76"/>
      <x:c r="C12" s="76"/>
      <x:c r="D12" s="76"/>
      <x:c r="E12" s="77"/>
    </x:row>
    <x:row r="13">
      <x:c r="A13" s="75"/>
      <x:c r="B13" s="76"/>
      <x:c r="C13" s="76"/>
      <x:c r="D13" s="76"/>
      <x:c r="E13" s="77"/>
    </x:row>
    <x:row r="14">
      <x:c r="A14" s="75"/>
      <x:c r="B14" s="76"/>
      <x:c r="C14" s="76"/>
      <x:c r="D14" s="76"/>
      <x:c r="E14" s="77"/>
    </x:row>
    <x:row r="15">
      <x:c r="A15" s="75"/>
      <x:c r="B15" s="76"/>
      <x:c r="C15" s="76"/>
      <x:c r="D15" s="76"/>
      <x:c r="E15" s="77"/>
    </x:row>
    <x:row r="16">
      <x:c r="A16" s="75"/>
      <x:c r="B16" s="76"/>
      <x:c r="C16" s="76"/>
      <x:c r="D16" s="76"/>
      <x:c r="E16" s="77"/>
    </x:row>
    <x:row r="17">
      <x:c r="A17" s="75"/>
      <x:c r="B17" s="76"/>
      <x:c r="C17" s="76"/>
      <x:c r="D17" s="76"/>
      <x:c r="E17" s="77"/>
    </x:row>
    <x:row r="18">
      <x:c r="A18" s="75"/>
      <x:c r="B18" s="76"/>
      <x:c r="C18" s="76"/>
      <x:c r="D18" s="76"/>
      <x:c r="E18" s="77"/>
    </x:row>
    <x:row r="19">
      <x:c r="A19" s="75"/>
      <x:c r="B19" s="76"/>
      <x:c r="C19" s="76"/>
      <x:c r="D19" s="76"/>
      <x:c r="E19" s="77"/>
    </x:row>
    <x:row r="20">
      <x:c r="A20" s="75"/>
      <x:c r="B20" s="76"/>
      <x:c r="C20" s="76"/>
      <x:c r="D20" s="76"/>
      <x:c r="E20" s="77"/>
    </x:row>
    <x:row r="21">
      <x:c r="A21" s="75"/>
      <x:c r="B21" s="76"/>
      <x:c r="C21" s="76"/>
      <x:c r="D21" s="76"/>
      <x:c r="E21" s="77"/>
    </x:row>
    <x:row r="22">
      <x:c r="A22" s="75"/>
      <x:c r="B22" s="76"/>
      <x:c r="C22" s="76"/>
      <x:c r="D22" s="76"/>
      <x:c r="E22" s="77"/>
    </x:row>
    <x:row r="23">
      <x:c r="A23" s="75"/>
      <x:c r="B23" s="76"/>
      <x:c r="C23" s="76"/>
      <x:c r="D23" s="76"/>
      <x:c r="E23" s="77"/>
    </x:row>
    <x:row r="24">
      <x:c r="A24" s="75"/>
      <x:c r="B24" s="76"/>
      <x:c r="C24" s="76"/>
      <x:c r="D24" s="76"/>
      <x:c r="E24" s="77"/>
    </x:row>
    <x:row r="25">
      <x:c r="A25" s="78"/>
      <x:c r="B25" s="79"/>
      <x:c r="C25" s="79"/>
      <x:c r="D25" s="79"/>
      <x:c r="E25" s="80"/>
    </x:row>
    <x:row r="26">
      <x:c r="A26" s="50"/>
      <x:c r="B26" s="50"/>
      <x:c r="C26" s="50"/>
      <x:c r="D26" s="50"/>
      <x:c r="E26" s="50"/>
    </x:row>
    <x:row r="27">
      <x:c r="A27" s="50"/>
      <x:c r="B27" s="50"/>
      <x:c r="C27" s="50"/>
      <x:c r="D27" s="50"/>
      <x:c r="E27" s="50"/>
    </x:row>
    <x:row r="28">
      <x:c r="A28" s="50"/>
      <x:c r="B28" s="50"/>
      <x:c r="C28" s="50"/>
      <x:c r="D28" s="50"/>
      <x:c r="E28" s="50"/>
    </x:row>
    <x:row r="29">
      <x:c r="A29" s="50"/>
      <x:c r="B29" s="50"/>
      <x:c r="C29" s="50"/>
      <x:c r="D29" s="50"/>
      <x:c r="E29" s="50"/>
    </x:row>
    <x:row r="30">
      <x:c r="A30" s="50"/>
      <x:c r="B30" s="50"/>
      <x:c r="C30" s="50"/>
      <x:c r="D30" s="50"/>
      <x:c r="E30" s="50"/>
    </x:row>
    <x:row r="31">
      <x:c r="A31" s="50"/>
      <x:c r="B31" s="50"/>
      <x:c r="C31" s="50"/>
      <x:c r="D31" s="50"/>
      <x:c r="E31" s="50"/>
    </x:row>
    <x:row r="32">
      <x:c r="A32" s="50"/>
      <x:c r="B32" s="50"/>
      <x:c r="C32" s="50"/>
      <x:c r="D32" s="50"/>
      <x:c r="E32" s="50"/>
    </x:row>
    <x:row r="33">
      <x:c r="A33" s="50"/>
      <x:c r="B33" s="50"/>
      <x:c r="C33" s="50"/>
      <x:c r="D33" s="50"/>
      <x:c r="E33" s="50"/>
    </x:row>
    <x:row r="34">
      <x:c r="A34" s="50"/>
      <x:c r="B34" s="50"/>
      <x:c r="C34" s="50"/>
      <x:c r="D34" s="50"/>
      <x:c r="E34" s="50"/>
    </x:row>
    <x:row r="35">
      <x:c r="A35" s="50"/>
      <x:c r="B35" s="50"/>
      <x:c r="C35" s="50"/>
      <x:c r="D35" s="50"/>
      <x:c r="E35" s="50"/>
    </x:row>
    <x:row r="36">
      <x:c r="A36" s="50"/>
      <x:c r="B36" s="50"/>
      <x:c r="C36" s="50"/>
      <x:c r="D36" s="50"/>
      <x:c r="E36" s="50"/>
    </x:row>
    <x:row r="37">
      <x:c r="A37" s="50"/>
      <x:c r="B37" s="50"/>
      <x:c r="C37" s="50"/>
      <x:c r="D37" s="50"/>
      <x:c r="E37" s="50"/>
    </x:row>
    <x:row r="38">
      <x:c r="A38" s="50"/>
      <x:c r="B38" s="50"/>
      <x:c r="C38" s="50"/>
      <x:c r="D38" s="50"/>
      <x:c r="E38" s="50"/>
    </x:row>
    <x:row r="39">
      <x:c r="A39" s="50"/>
      <x:c r="B39" s="50"/>
      <x:c r="C39" s="50"/>
      <x:c r="D39" s="50"/>
      <x:c r="E39" s="50"/>
    </x:row>
    <x:row r="40">
      <x:c r="A40" s="50"/>
      <x:c r="B40" s="50"/>
      <x:c r="C40" s="50"/>
      <x:c r="D40" s="50"/>
      <x:c r="E40" s="50"/>
    </x:row>
    <x:row r="41">
      <x:c r="A41" s="50"/>
      <x:c r="B41" s="50"/>
      <x:c r="C41" s="50"/>
      <x:c r="D41" s="50"/>
      <x:c r="E41" s="50"/>
    </x:row>
    <x:row r="42">
      <x:c r="A42" s="50"/>
      <x:c r="B42" s="50"/>
      <x:c r="C42" s="50"/>
      <x:c r="D42" s="50"/>
      <x:c r="E42" s="50"/>
    </x:row>
    <x:row r="43">
      <x:c r="A43" s="50"/>
      <x:c r="B43" s="50"/>
      <x:c r="C43" s="50"/>
      <x:c r="D43" s="50"/>
      <x:c r="E43" s="50"/>
    </x:row>
    <x:row r="44">
      <x:c r="A44" s="50"/>
      <x:c r="B44" s="50"/>
      <x:c r="C44" s="50"/>
      <x:c r="D44" s="50"/>
      <x:c r="E44" s="50"/>
    </x:row>
    <x:row r="45">
      <x:c r="A45" s="50"/>
      <x:c r="B45" s="50"/>
      <x:c r="C45" s="50"/>
      <x:c r="D45" s="50"/>
      <x:c r="E45" s="50"/>
    </x:row>
    <x:row r="46">
      <x:c r="A46" s="50"/>
      <x:c r="B46" s="50"/>
      <x:c r="C46" s="50"/>
      <x:c r="D46" s="50"/>
      <x:c r="E46" s="50"/>
    </x:row>
    <x:row r="47">
      <x:c r="A47" s="50"/>
      <x:c r="B47" s="50"/>
      <x:c r="C47" s="50"/>
      <x:c r="D47" s="50"/>
      <x:c r="E47" s="50"/>
    </x:row>
    <x:row r="48">
      <x:c r="A48" s="50"/>
      <x:c r="B48" s="50"/>
      <x:c r="C48" s="50"/>
      <x:c r="D48" s="50"/>
      <x:c r="E48" s="50"/>
    </x:row>
    <x:row r="49">
      <x:c r="A49" s="50"/>
      <x:c r="B49" s="50"/>
      <x:c r="C49" s="50"/>
      <x:c r="D49" s="50"/>
      <x:c r="E49" s="50"/>
    </x:row>
    <x:row r="50">
      <x:c r="A50" s="50"/>
      <x:c r="B50" s="50"/>
      <x:c r="C50" s="50"/>
      <x:c r="D50" s="50"/>
      <x:c r="E50" s="50"/>
    </x:row>
    <x:row r="51">
      <x:c r="A51" s="50"/>
      <x:c r="B51" s="50"/>
      <x:c r="C51" s="50"/>
      <x:c r="D51" s="50"/>
      <x:c r="E51" s="50"/>
    </x:row>
    <x:row r="52">
      <x:c r="A52" s="50"/>
      <x:c r="B52" s="50"/>
      <x:c r="C52" s="50"/>
      <x:c r="D52" s="50"/>
      <x:c r="E52" s="50"/>
    </x:row>
    <x:row r="53">
      <x:c r="A53" s="50"/>
      <x:c r="B53" s="50"/>
      <x:c r="C53" s="50"/>
      <x:c r="D53" s="50"/>
      <x:c r="E53" s="50"/>
    </x:row>
    <x:row r="54">
      <x:c r="A54" s="50"/>
      <x:c r="B54" s="50"/>
      <x:c r="C54" s="50"/>
      <x:c r="D54" s="50"/>
      <x:c r="E54" s="50"/>
    </x:row>
    <x:row r="55">
      <x:c r="A55" s="50"/>
      <x:c r="B55" s="50"/>
      <x:c r="C55" s="50"/>
      <x:c r="D55" s="50"/>
      <x:c r="E55" s="50"/>
    </x:row>
    <x:row r="56">
      <x:c r="A56" s="50"/>
      <x:c r="B56" s="50"/>
      <x:c r="C56" s="50"/>
      <x:c r="D56" s="50"/>
      <x:c r="E56" s="50"/>
    </x:row>
    <x:row r="57">
      <x:c r="A57" s="50"/>
      <x:c r="B57" s="50"/>
      <x:c r="C57" s="50"/>
      <x:c r="D57" s="50"/>
      <x:c r="E57" s="50"/>
    </x:row>
    <x:row r="58">
      <x:c r="A58" s="50"/>
      <x:c r="B58" s="50"/>
      <x:c r="C58" s="50"/>
      <x:c r="D58" s="50"/>
      <x:c r="E58" s="50"/>
    </x:row>
    <x:row r="59">
      <x:c r="A59" s="50"/>
      <x:c r="B59" s="50"/>
      <x:c r="C59" s="50"/>
      <x:c r="D59" s="50"/>
      <x:c r="E59" s="50"/>
    </x:row>
    <x:row r="60">
      <x:c r="A60" s="50"/>
      <x:c r="B60" s="50"/>
      <x:c r="C60" s="50"/>
      <x:c r="D60" s="50"/>
      <x:c r="E60" s="50"/>
    </x:row>
    <x:row r="61">
      <x:c r="A61" s="50"/>
      <x:c r="B61" s="50"/>
      <x:c r="C61" s="50"/>
      <x:c r="D61" s="50"/>
      <x:c r="E61" s="50"/>
    </x:row>
    <x:row r="62">
      <x:c r="A62" s="50"/>
      <x:c r="B62" s="50"/>
      <x:c r="C62" s="50"/>
      <x:c r="D62" s="50"/>
      <x:c r="E62" s="50"/>
    </x:row>
    <x:row r="63">
      <x:c r="A63" s="50"/>
      <x:c r="B63" s="50"/>
      <x:c r="C63" s="50"/>
      <x:c r="D63" s="50"/>
      <x:c r="E63" s="50"/>
    </x:row>
    <x:row r="64">
      <x:c r="A64" s="50"/>
      <x:c r="B64" s="50"/>
      <x:c r="C64" s="50"/>
      <x:c r="D64" s="50"/>
      <x:c r="E64" s="50"/>
    </x:row>
    <x:row r="65">
      <x:c r="A65" s="50"/>
      <x:c r="B65" s="50"/>
      <x:c r="C65" s="50"/>
      <x:c r="D65" s="50"/>
      <x:c r="E65" s="50"/>
    </x:row>
    <x:row r="66">
      <x:c r="A66" s="50"/>
      <x:c r="B66" s="50"/>
      <x:c r="C66" s="50"/>
      <x:c r="D66" s="50"/>
      <x:c r="E66" s="50"/>
    </x:row>
    <x:row r="67">
      <x:c r="A67" s="50"/>
      <x:c r="B67" s="50"/>
      <x:c r="C67" s="50"/>
      <x:c r="D67" s="50"/>
      <x:c r="E67" s="50"/>
    </x:row>
    <x:row r="68">
      <x:c r="A68" s="50"/>
      <x:c r="B68" s="50"/>
      <x:c r="C68" s="50"/>
      <x:c r="D68" s="50"/>
      <x:c r="E68" s="50"/>
    </x:row>
    <x:row r="69">
      <x:c r="A69" s="50"/>
      <x:c r="B69" s="50"/>
      <x:c r="C69" s="50"/>
      <x:c r="D69" s="50"/>
      <x:c r="E69" s="50"/>
    </x:row>
    <x:row r="70">
      <x:c r="A70" s="50"/>
      <x:c r="B70" s="50"/>
      <x:c r="C70" s="50"/>
      <x:c r="D70" s="50"/>
      <x:c r="E70" s="50"/>
    </x:row>
    <x:row r="71">
      <x:c r="A71" s="50"/>
      <x:c r="B71" s="50"/>
      <x:c r="C71" s="50"/>
      <x:c r="D71" s="50"/>
      <x:c r="E71" s="50"/>
    </x:row>
    <x:row r="72">
      <x:c r="A72" s="50"/>
      <x:c r="B72" s="50"/>
      <x:c r="C72" s="50"/>
      <x:c r="D72" s="50"/>
      <x:c r="E72" s="50"/>
    </x:row>
    <x:row r="73">
      <x:c r="A73" s="50"/>
      <x:c r="B73" s="50"/>
      <x:c r="C73" s="50"/>
      <x:c r="D73" s="50"/>
      <x:c r="E73" s="50"/>
    </x:row>
    <x:row r="74">
      <x:c r="A74" s="50"/>
      <x:c r="B74" s="50"/>
      <x:c r="C74" s="50"/>
      <x:c r="D74" s="50"/>
      <x:c r="E74" s="50"/>
    </x:row>
    <x:row r="75">
      <x:c r="A75" s="50"/>
      <x:c r="B75" s="50"/>
      <x:c r="C75" s="50"/>
      <x:c r="D75" s="50"/>
      <x:c r="E75" s="50"/>
    </x:row>
    <x:row r="76">
      <x:c r="A76" s="50"/>
      <x:c r="B76" s="50"/>
      <x:c r="C76" s="50"/>
      <x:c r="D76" s="50"/>
      <x:c r="E76" s="50"/>
    </x:row>
    <x:row r="77">
      <x:c r="A77" s="50"/>
      <x:c r="B77" s="50"/>
      <x:c r="C77" s="50"/>
      <x:c r="D77" s="50"/>
      <x:c r="E77" s="50"/>
    </x:row>
    <x:row r="78">
      <x:c r="A78" s="50"/>
      <x:c r="B78" s="50"/>
      <x:c r="C78" s="50"/>
      <x:c r="D78" s="50"/>
      <x:c r="E78" s="50"/>
    </x:row>
    <x:row r="79">
      <x:c r="A79" s="50"/>
      <x:c r="B79" s="50"/>
      <x:c r="C79" s="50"/>
      <x:c r="D79" s="50"/>
      <x:c r="E79" s="50"/>
    </x:row>
    <x:row r="80">
      <x:c r="A80" s="50"/>
      <x:c r="B80" s="50"/>
      <x:c r="C80" s="50"/>
      <x:c r="D80" s="50"/>
      <x:c r="E80" s="50"/>
    </x:row>
    <x:row r="81">
      <x:c r="A81" s="50"/>
      <x:c r="B81" s="50"/>
      <x:c r="C81" s="50"/>
      <x:c r="D81" s="50"/>
      <x:c r="E81" s="50"/>
    </x:row>
    <x:row r="82">
      <x:c r="A82" s="50"/>
      <x:c r="B82" s="50"/>
      <x:c r="C82" s="50"/>
      <x:c r="D82" s="50"/>
      <x:c r="E82" s="50"/>
    </x:row>
    <x:row r="83">
      <x:c r="A83" s="50"/>
      <x:c r="B83" s="50"/>
      <x:c r="C83" s="50"/>
      <x:c r="D83" s="50"/>
      <x:c r="E83" s="50"/>
    </x:row>
    <x:row r="84">
      <x:c r="A84" s="50"/>
      <x:c r="B84" s="50"/>
      <x:c r="C84" s="50"/>
      <x:c r="D84" s="50"/>
      <x:c r="E84" s="50"/>
    </x:row>
    <x:row r="85">
      <x:c r="A85" s="50"/>
      <x:c r="B85" s="50"/>
      <x:c r="C85" s="50"/>
      <x:c r="D85" s="50"/>
      <x:c r="E85" s="50"/>
    </x:row>
    <x:row r="86">
      <x:c r="A86" s="50"/>
      <x:c r="B86" s="50"/>
      <x:c r="C86" s="50"/>
      <x:c r="D86" s="50"/>
      <x:c r="E86" s="50"/>
    </x:row>
    <x:row r="87">
      <x:c r="A87" s="50"/>
      <x:c r="B87" s="50"/>
      <x:c r="C87" s="50"/>
      <x:c r="D87" s="50"/>
      <x:c r="E87" s="50"/>
    </x:row>
    <x:row r="88">
      <x:c r="A88" s="50"/>
      <x:c r="B88" s="50"/>
      <x:c r="C88" s="50"/>
      <x:c r="D88" s="50"/>
      <x:c r="E88" s="50"/>
    </x:row>
    <x:row r="89">
      <x:c r="A89" s="50"/>
      <x:c r="B89" s="50"/>
      <x:c r="C89" s="50"/>
      <x:c r="D89" s="50"/>
      <x:c r="E89" s="50"/>
    </x:row>
    <x:row r="90">
      <x:c r="A90" s="50"/>
      <x:c r="B90" s="50"/>
      <x:c r="C90" s="50"/>
      <x:c r="D90" s="50"/>
      <x:c r="E90" s="50"/>
    </x:row>
    <x:row r="91">
      <x:c r="A91" s="50"/>
      <x:c r="B91" s="50"/>
      <x:c r="C91" s="50"/>
      <x:c r="D91" s="50"/>
      <x:c r="E91" s="50"/>
    </x:row>
    <x:row r="92">
      <x:c r="A92" s="50"/>
      <x:c r="B92" s="50"/>
      <x:c r="C92" s="50"/>
      <x:c r="D92" s="50"/>
      <x:c r="E92" s="50"/>
    </x:row>
    <x:row r="93">
      <x:c r="A93" s="50"/>
      <x:c r="B93" s="50"/>
      <x:c r="C93" s="50"/>
      <x:c r="D93" s="50"/>
      <x:c r="E93" s="50"/>
    </x:row>
    <x:row r="94">
      <x:c r="A94" s="50"/>
      <x:c r="B94" s="50"/>
      <x:c r="C94" s="50"/>
      <x:c r="D94" s="50"/>
      <x:c r="E94" s="50"/>
    </x:row>
    <x:row r="95">
      <x:c r="A95" s="50"/>
      <x:c r="B95" s="50"/>
      <x:c r="C95" s="50"/>
      <x:c r="D95" s="50"/>
      <x:c r="E95" s="50"/>
    </x:row>
    <x:row r="96">
      <x:c r="A96" s="50"/>
      <x:c r="B96" s="50"/>
      <x:c r="C96" s="50"/>
      <x:c r="D96" s="50"/>
      <x:c r="E96" s="50"/>
    </x:row>
    <x:row r="97">
      <x:c r="A97" s="50"/>
      <x:c r="B97" s="50"/>
      <x:c r="C97" s="50"/>
      <x:c r="D97" s="50"/>
      <x:c r="E97" s="50"/>
    </x:row>
    <x:row r="98">
      <x:c r="A98" s="50"/>
      <x:c r="B98" s="50"/>
      <x:c r="C98" s="50"/>
      <x:c r="D98" s="50"/>
      <x:c r="E98" s="50"/>
    </x:row>
    <x:row r="99">
      <x:c r="A99" s="50"/>
      <x:c r="B99" s="50"/>
      <x:c r="C99" s="50"/>
      <x:c r="D99" s="50"/>
      <x:c r="E99" s="50"/>
    </x:row>
    <x:row r="100">
      <x:c r="A100" s="50"/>
      <x:c r="B100" s="50"/>
      <x:c r="C100" s="50"/>
      <x:c r="D100" s="50"/>
      <x:c r="E100" s="50"/>
    </x:row>
    <x:row r="101">
      <x:c r="A101" s="50"/>
      <x:c r="B101" s="50"/>
      <x:c r="C101" s="50"/>
      <x:c r="D101" s="50"/>
      <x:c r="E101" s="50"/>
    </x:row>
    <x:row r="102">
      <x:c r="A102" s="50"/>
      <x:c r="B102" s="50"/>
      <x:c r="C102" s="50"/>
      <x:c r="D102" s="50"/>
      <x:c r="E102" s="50"/>
    </x:row>
    <x:row r="103">
      <x:c r="A103" s="50"/>
      <x:c r="B103" s="50"/>
      <x:c r="C103" s="50"/>
      <x:c r="D103" s="50"/>
      <x:c r="E103" s="50"/>
    </x:row>
    <x:row r="104">
      <x:c r="A104" s="50"/>
      <x:c r="B104" s="50"/>
      <x:c r="C104" s="50"/>
      <x:c r="D104" s="50"/>
      <x:c r="E104" s="50"/>
    </x:row>
    <x:row r="105">
      <x:c r="A105" s="50"/>
      <x:c r="B105" s="50"/>
      <x:c r="C105" s="50"/>
      <x:c r="D105" s="50"/>
      <x:c r="E105" s="50"/>
    </x:row>
    <x:row r="106">
      <x:c r="A106" s="50"/>
      <x:c r="B106" s="50"/>
      <x:c r="C106" s="50"/>
      <x:c r="D106" s="50"/>
      <x:c r="E106" s="50"/>
    </x:row>
    <x:row r="107">
      <x:c r="A107" s="50"/>
      <x:c r="B107" s="50"/>
      <x:c r="C107" s="50"/>
      <x:c r="D107" s="50"/>
      <x:c r="E107" s="50"/>
    </x:row>
    <x:row r="108">
      <x:c r="A108" s="50"/>
      <x:c r="B108" s="50"/>
      <x:c r="C108" s="50"/>
      <x:c r="D108" s="50"/>
      <x:c r="E108" s="50"/>
    </x:row>
    <x:row r="109">
      <x:c r="A109" s="50"/>
      <x:c r="B109" s="50"/>
      <x:c r="C109" s="50"/>
      <x:c r="D109" s="50"/>
      <x:c r="E109" s="50"/>
    </x:row>
    <x:row r="110">
      <x:c r="A110" s="50"/>
      <x:c r="B110" s="50"/>
      <x:c r="C110" s="50"/>
      <x:c r="D110" s="50"/>
      <x:c r="E110" s="50"/>
    </x:row>
    <x:row r="111">
      <x:c r="A111" s="50"/>
      <x:c r="B111" s="50"/>
      <x:c r="C111" s="50"/>
      <x:c r="D111" s="50"/>
      <x:c r="E111" s="50"/>
    </x:row>
    <x:row r="112">
      <x:c r="A112" s="50"/>
      <x:c r="B112" s="50"/>
      <x:c r="C112" s="50"/>
      <x:c r="D112" s="50"/>
      <x:c r="E112" s="50"/>
    </x:row>
    <x:row r="113">
      <x:c r="A113" s="50"/>
      <x:c r="B113" s="50"/>
      <x:c r="C113" s="50"/>
      <x:c r="D113" s="50"/>
      <x:c r="E113" s="50"/>
    </x:row>
    <x:row r="114">
      <x:c r="A114" s="50"/>
      <x:c r="B114" s="50"/>
      <x:c r="C114" s="50"/>
      <x:c r="D114" s="50"/>
      <x:c r="E114" s="50"/>
    </x:row>
    <x:row r="115">
      <x:c r="A115" s="50"/>
      <x:c r="B115" s="50"/>
      <x:c r="C115" s="50"/>
      <x:c r="D115" s="50"/>
      <x:c r="E115" s="50"/>
    </x:row>
    <x:row r="116">
      <x:c r="A116" s="50"/>
      <x:c r="B116" s="50"/>
      <x:c r="C116" s="50"/>
      <x:c r="D116" s="50"/>
      <x:c r="E116" s="50"/>
    </x:row>
    <x:row r="117">
      <x:c r="A117" s="50"/>
      <x:c r="B117" s="50"/>
      <x:c r="C117" s="50"/>
      <x:c r="D117" s="50"/>
      <x:c r="E117" s="50"/>
    </x:row>
    <x:row r="118">
      <x:c r="A118" s="50"/>
      <x:c r="B118" s="50"/>
      <x:c r="C118" s="50"/>
      <x:c r="D118" s="50"/>
      <x:c r="E118" s="50"/>
    </x:row>
    <x:row r="119">
      <x:c r="A119" s="50"/>
      <x:c r="B119" s="50"/>
      <x:c r="C119" s="50"/>
      <x:c r="D119" s="50"/>
      <x:c r="E119" s="50"/>
    </x:row>
    <x:row r="120">
      <x:c r="A120" s="50"/>
      <x:c r="B120" s="50"/>
      <x:c r="C120" s="50"/>
      <x:c r="D120" s="50"/>
      <x:c r="E120" s="50"/>
    </x:row>
    <x:row r="121">
      <x:c r="A121" s="50"/>
      <x:c r="B121" s="50"/>
      <x:c r="C121" s="50"/>
      <x:c r="D121" s="50"/>
      <x:c r="E121" s="50"/>
    </x:row>
    <x:row r="122">
      <x:c r="A122" s="50"/>
      <x:c r="B122" s="50"/>
      <x:c r="C122" s="50"/>
      <x:c r="D122" s="50"/>
      <x:c r="E122" s="50"/>
    </x:row>
    <x:row r="123">
      <x:c r="A123" s="50"/>
      <x:c r="B123" s="50"/>
      <x:c r="C123" s="50"/>
      <x:c r="D123" s="50"/>
      <x:c r="E123" s="50"/>
    </x:row>
    <x:row r="124">
      <x:c r="A124" s="50"/>
      <x:c r="B124" s="50"/>
      <x:c r="C124" s="50"/>
      <x:c r="D124" s="50"/>
      <x:c r="E124" s="50"/>
    </x:row>
    <x:row r="125">
      <x:c r="A125" s="50"/>
      <x:c r="B125" s="50"/>
      <x:c r="C125" s="50"/>
      <x:c r="D125" s="50"/>
      <x:c r="E125" s="50"/>
    </x:row>
    <x:row r="126">
      <x:c r="A126" s="50"/>
      <x:c r="B126" s="50"/>
      <x:c r="C126" s="50"/>
      <x:c r="D126" s="50"/>
      <x:c r="E126" s="50"/>
    </x:row>
    <x:row r="127">
      <x:c r="A127" s="50"/>
      <x:c r="B127" s="50"/>
      <x:c r="C127" s="50"/>
      <x:c r="D127" s="50"/>
      <x:c r="E127" s="50"/>
    </x:row>
    <x:row r="128">
      <x:c r="A128" s="50"/>
      <x:c r="B128" s="50"/>
      <x:c r="C128" s="50"/>
      <x:c r="D128" s="50"/>
      <x:c r="E128" s="50"/>
    </x:row>
    <x:row r="129">
      <x:c r="A129" s="50"/>
      <x:c r="B129" s="50"/>
      <x:c r="C129" s="50"/>
      <x:c r="D129" s="50"/>
      <x:c r="E129" s="50"/>
    </x:row>
    <x:row r="130">
      <x:c r="A130" s="50"/>
      <x:c r="B130" s="50"/>
      <x:c r="C130" s="50"/>
      <x:c r="D130" s="50"/>
      <x:c r="E130" s="50"/>
    </x:row>
    <x:row r="131">
      <x:c r="A131" s="50"/>
      <x:c r="B131" s="50"/>
      <x:c r="C131" s="50"/>
      <x:c r="D131" s="50"/>
      <x:c r="E131" s="50"/>
    </x:row>
    <x:row r="132">
      <x:c r="A132" s="50"/>
      <x:c r="B132" s="50"/>
      <x:c r="C132" s="50"/>
      <x:c r="D132" s="50"/>
      <x:c r="E132" s="50"/>
    </x:row>
    <x:row r="133">
      <x:c r="A133" s="50"/>
      <x:c r="B133" s="50"/>
      <x:c r="C133" s="50"/>
      <x:c r="D133" s="50"/>
      <x:c r="E133" s="50"/>
    </x:row>
    <x:row r="134">
      <x:c r="A134" s="50"/>
      <x:c r="B134" s="50"/>
      <x:c r="C134" s="50"/>
      <x:c r="D134" s="50"/>
      <x:c r="E134" s="50"/>
    </x:row>
    <x:row r="135">
      <x:c r="A135" s="50"/>
      <x:c r="B135" s="50"/>
      <x:c r="C135" s="50"/>
      <x:c r="D135" s="50"/>
      <x:c r="E135" s="50"/>
    </x:row>
    <x:row r="136">
      <x:c r="A136" s="50"/>
      <x:c r="B136" s="50"/>
      <x:c r="C136" s="50"/>
      <x:c r="D136" s="50"/>
      <x:c r="E136" s="50"/>
    </x:row>
    <x:row r="137">
      <x:c r="A137" s="50"/>
      <x:c r="B137" s="50"/>
      <x:c r="C137" s="50"/>
      <x:c r="D137" s="50"/>
      <x:c r="E137" s="50"/>
    </x:row>
    <x:row r="138">
      <x:c r="A138" s="50"/>
      <x:c r="B138" s="50"/>
      <x:c r="C138" s="50"/>
      <x:c r="D138" s="50"/>
      <x:c r="E138" s="50"/>
    </x:row>
    <x:row r="139">
      <x:c r="A139" s="50"/>
      <x:c r="B139" s="50"/>
      <x:c r="C139" s="50"/>
      <x:c r="D139" s="50"/>
      <x:c r="E139" s="50"/>
    </x:row>
    <x:row r="140">
      <x:c r="A140" s="50"/>
      <x:c r="B140" s="50"/>
      <x:c r="C140" s="50"/>
      <x:c r="D140" s="50"/>
      <x:c r="E140" s="50"/>
    </x:row>
    <x:row r="141">
      <x:c r="A141" s="50"/>
      <x:c r="B141" s="50"/>
      <x:c r="C141" s="50"/>
      <x:c r="D141" s="50"/>
      <x:c r="E141" s="50"/>
    </x:row>
    <x:row r="142">
      <x:c r="A142" s="50"/>
      <x:c r="B142" s="50"/>
      <x:c r="C142" s="50"/>
      <x:c r="D142" s="50"/>
      <x:c r="E142" s="50"/>
    </x:row>
    <x:row r="143">
      <x:c r="A143" s="50"/>
      <x:c r="B143" s="50"/>
      <x:c r="C143" s="50"/>
      <x:c r="D143" s="50"/>
      <x:c r="E143" s="50"/>
    </x:row>
    <x:row r="144">
      <x:c r="A144" s="50"/>
      <x:c r="B144" s="50"/>
      <x:c r="C144" s="50"/>
      <x:c r="D144" s="50"/>
      <x:c r="E144" s="50"/>
    </x:row>
    <x:row r="145">
      <x:c r="A145" s="50"/>
      <x:c r="B145" s="50"/>
      <x:c r="C145" s="50"/>
      <x:c r="D145" s="50"/>
      <x:c r="E145" s="50"/>
    </x:row>
    <x:row r="146">
      <x:c r="A146" s="50"/>
      <x:c r="B146" s="50"/>
      <x:c r="C146" s="50"/>
      <x:c r="D146" s="50"/>
      <x:c r="E146" s="50"/>
    </x:row>
    <x:row r="147">
      <x:c r="A147" s="50"/>
      <x:c r="B147" s="50"/>
      <x:c r="C147" s="50"/>
      <x:c r="D147" s="50"/>
      <x:c r="E147" s="50"/>
    </x:row>
    <x:row r="148">
      <x:c r="A148" s="50"/>
      <x:c r="B148" s="50"/>
      <x:c r="C148" s="50"/>
      <x:c r="D148" s="50"/>
      <x:c r="E148" s="50"/>
    </x:row>
    <x:row r="149">
      <x:c r="A149" s="50"/>
      <x:c r="B149" s="50"/>
      <x:c r="C149" s="50"/>
      <x:c r="D149" s="50"/>
      <x:c r="E149" s="50"/>
    </x:row>
    <x:row r="150">
      <x:c r="A150" s="50"/>
      <x:c r="B150" s="50"/>
      <x:c r="C150" s="50"/>
      <x:c r="D150" s="50"/>
      <x:c r="E150" s="50"/>
    </x:row>
    <x:row r="151">
      <x:c r="A151" s="50"/>
      <x:c r="B151" s="50"/>
      <x:c r="C151" s="50"/>
      <x:c r="D151" s="50"/>
      <x:c r="E151" s="50"/>
    </x:row>
    <x:row r="152">
      <x:c r="A152" s="50"/>
      <x:c r="B152" s="50"/>
      <x:c r="C152" s="50"/>
      <x:c r="D152" s="50"/>
      <x:c r="E152" s="50"/>
    </x:row>
    <x:row r="153">
      <x:c r="A153" s="50"/>
      <x:c r="B153" s="50"/>
      <x:c r="C153" s="50"/>
      <x:c r="D153" s="50"/>
      <x:c r="E153" s="50"/>
    </x:row>
    <x:row r="154">
      <x:c r="A154" s="50"/>
      <x:c r="B154" s="50"/>
      <x:c r="C154" s="50"/>
      <x:c r="D154" s="50"/>
      <x:c r="E154" s="50"/>
    </x:row>
    <x:row r="155">
      <x:c r="A155" s="50"/>
      <x:c r="B155" s="50"/>
      <x:c r="C155" s="50"/>
      <x:c r="D155" s="50"/>
      <x:c r="E155" s="50"/>
    </x:row>
    <x:row r="156">
      <x:c r="A156" s="50"/>
      <x:c r="B156" s="50"/>
      <x:c r="C156" s="50"/>
      <x:c r="D156" s="50"/>
      <x:c r="E156" s="50"/>
    </x:row>
    <x:row r="157">
      <x:c r="A157" s="50"/>
      <x:c r="B157" s="50"/>
      <x:c r="C157" s="50"/>
      <x:c r="D157" s="50"/>
      <x:c r="E157" s="50"/>
    </x:row>
    <x:row r="158">
      <x:c r="A158" s="50"/>
      <x:c r="B158" s="50"/>
      <x:c r="C158" s="50"/>
      <x:c r="D158" s="50"/>
      <x:c r="E158" s="50"/>
    </x:row>
    <x:row r="159">
      <x:c r="A159" s="50"/>
      <x:c r="B159" s="50"/>
      <x:c r="C159" s="50"/>
      <x:c r="D159" s="50"/>
      <x:c r="E159" s="50"/>
    </x:row>
    <x:row r="160">
      <x:c r="A160" s="50"/>
      <x:c r="B160" s="50"/>
      <x:c r="C160" s="50"/>
      <x:c r="D160" s="50"/>
      <x:c r="E160" s="50"/>
    </x:row>
    <x:row r="161">
      <x:c r="A161" s="50"/>
      <x:c r="B161" s="50"/>
      <x:c r="C161" s="50"/>
      <x:c r="D161" s="50"/>
      <x:c r="E161" s="50"/>
    </x:row>
    <x:row r="162">
      <x:c r="A162" s="50"/>
      <x:c r="B162" s="50"/>
      <x:c r="C162" s="50"/>
      <x:c r="D162" s="50"/>
      <x:c r="E162" s="50"/>
    </x:row>
    <x:row r="163">
      <x:c r="A163" s="50"/>
      <x:c r="B163" s="50"/>
      <x:c r="C163" s="50"/>
      <x:c r="D163" s="50"/>
      <x:c r="E163" s="50"/>
    </x:row>
    <x:row r="164">
      <x:c r="A164" s="50"/>
      <x:c r="B164" s="50"/>
      <x:c r="C164" s="50"/>
      <x:c r="D164" s="50"/>
      <x:c r="E164" s="50"/>
    </x:row>
    <x:row r="165">
      <x:c r="A165" s="50"/>
      <x:c r="B165" s="50"/>
      <x:c r="C165" s="50"/>
      <x:c r="D165" s="50"/>
      <x:c r="E165" s="50"/>
    </x:row>
    <x:row r="166">
      <x:c r="A166" s="50"/>
      <x:c r="B166" s="50"/>
      <x:c r="C166" s="50"/>
      <x:c r="D166" s="50"/>
      <x:c r="E166" s="50"/>
    </x:row>
    <x:row r="167">
      <x:c r="A167" s="50"/>
      <x:c r="B167" s="50"/>
      <x:c r="C167" s="50"/>
      <x:c r="D167" s="50"/>
      <x:c r="E167" s="50"/>
    </x:row>
    <x:row r="168">
      <x:c r="A168" s="50"/>
      <x:c r="B168" s="50"/>
      <x:c r="C168" s="50"/>
      <x:c r="D168" s="50"/>
      <x:c r="E168" s="50"/>
    </x:row>
    <x:row r="169">
      <x:c r="A169" s="50"/>
      <x:c r="B169" s="50"/>
      <x:c r="C169" s="50"/>
      <x:c r="D169" s="50"/>
      <x:c r="E169" s="50"/>
    </x:row>
    <x:row r="170">
      <x:c r="A170" s="50"/>
      <x:c r="B170" s="50"/>
      <x:c r="C170" s="50"/>
      <x:c r="D170" s="50"/>
      <x:c r="E170" s="50"/>
    </x:row>
    <x:row r="171">
      <x:c r="A171" s="50"/>
      <x:c r="B171" s="50"/>
      <x:c r="C171" s="50"/>
      <x:c r="D171" s="50"/>
      <x:c r="E171" s="50"/>
    </x:row>
    <x:row r="172">
      <x:c r="A172" s="50"/>
      <x:c r="B172" s="50"/>
      <x:c r="C172" s="50"/>
      <x:c r="D172" s="50"/>
      <x:c r="E172" s="50"/>
    </x:row>
    <x:row r="173">
      <x:c r="A173" s="50"/>
      <x:c r="B173" s="50"/>
      <x:c r="C173" s="50"/>
      <x:c r="D173" s="50"/>
      <x:c r="E173" s="50"/>
    </x:row>
    <x:row r="174">
      <x:c r="A174" s="50"/>
      <x:c r="B174" s="50"/>
      <x:c r="C174" s="50"/>
      <x:c r="D174" s="50"/>
      <x:c r="E174" s="50"/>
    </x:row>
    <x:row r="175">
      <x:c r="A175" s="50"/>
      <x:c r="B175" s="50"/>
      <x:c r="C175" s="50"/>
      <x:c r="D175" s="50"/>
      <x:c r="E175" s="50"/>
    </x:row>
    <x:row r="176">
      <x:c r="A176" s="50"/>
      <x:c r="B176" s="50"/>
      <x:c r="C176" s="50"/>
      <x:c r="D176" s="50"/>
      <x:c r="E176" s="50"/>
    </x:row>
    <x:row r="177">
      <x:c r="A177" s="50"/>
      <x:c r="B177" s="50"/>
      <x:c r="C177" s="50"/>
      <x:c r="D177" s="50"/>
      <x:c r="E177" s="50"/>
    </x:row>
    <x:row r="178">
      <x:c r="A178" s="50"/>
      <x:c r="B178" s="50"/>
      <x:c r="C178" s="50"/>
      <x:c r="D178" s="50"/>
      <x:c r="E178" s="50"/>
    </x:row>
    <x:row r="179">
      <x:c r="A179" s="50"/>
      <x:c r="B179" s="50"/>
      <x:c r="C179" s="50"/>
      <x:c r="D179" s="50"/>
      <x:c r="E179" s="50"/>
    </x:row>
    <x:row r="180">
      <x:c r="A180" s="50"/>
      <x:c r="B180" s="50"/>
      <x:c r="C180" s="50"/>
      <x:c r="D180" s="50"/>
      <x:c r="E180" s="50"/>
    </x:row>
    <x:row r="181">
      <x:c r="A181" s="50"/>
      <x:c r="B181" s="50"/>
      <x:c r="C181" s="50"/>
      <x:c r="D181" s="50"/>
      <x:c r="E181" s="50"/>
    </x:row>
    <x:row r="182">
      <x:c r="A182" s="50"/>
      <x:c r="B182" s="50"/>
      <x:c r="C182" s="50"/>
      <x:c r="D182" s="50"/>
      <x:c r="E182" s="50"/>
    </x:row>
    <x:row r="183">
      <x:c r="A183" s="50"/>
      <x:c r="B183" s="50"/>
      <x:c r="C183" s="50"/>
      <x:c r="D183" s="50"/>
      <x:c r="E183" s="50"/>
    </x:row>
    <x:row r="184">
      <x:c r="A184" s="50"/>
      <x:c r="B184" s="50"/>
      <x:c r="C184" s="50"/>
      <x:c r="D184" s="50"/>
      <x:c r="E184" s="50"/>
    </x:row>
    <x:row r="185">
      <x:c r="A185" s="50"/>
      <x:c r="B185" s="50"/>
      <x:c r="C185" s="50"/>
      <x:c r="D185" s="50"/>
      <x:c r="E185" s="50"/>
    </x:row>
    <x:row r="186">
      <x:c r="A186" s="50"/>
      <x:c r="B186" s="50"/>
      <x:c r="C186" s="50"/>
      <x:c r="D186" s="50"/>
      <x:c r="E186" s="50"/>
    </x:row>
    <x:row r="187">
      <x:c r="A187" s="50"/>
      <x:c r="B187" s="50"/>
      <x:c r="C187" s="50"/>
      <x:c r="D187" s="50"/>
      <x:c r="E187" s="50"/>
    </x:row>
    <x:row r="188">
      <x:c r="A188" s="50"/>
      <x:c r="B188" s="50"/>
      <x:c r="C188" s="50"/>
      <x:c r="D188" s="50"/>
      <x:c r="E188" s="50"/>
    </x:row>
    <x:row r="189">
      <x:c r="A189" s="50"/>
      <x:c r="B189" s="50"/>
      <x:c r="C189" s="50"/>
      <x:c r="D189" s="50"/>
      <x:c r="E189" s="50"/>
    </x:row>
    <x:row r="190">
      <x:c r="A190" s="50"/>
      <x:c r="B190" s="50"/>
      <x:c r="C190" s="50"/>
      <x:c r="D190" s="50"/>
      <x:c r="E190" s="50"/>
    </x:row>
    <x:row r="191">
      <x:c r="A191" s="50"/>
      <x:c r="B191" s="50"/>
      <x:c r="C191" s="50"/>
      <x:c r="D191" s="50"/>
      <x:c r="E191" s="50"/>
    </x:row>
    <x:row r="192">
      <x:c r="A192" s="50"/>
      <x:c r="B192" s="50"/>
      <x:c r="C192" s="50"/>
      <x:c r="D192" s="50"/>
      <x:c r="E192" s="50"/>
    </x:row>
    <x:row r="193">
      <x:c r="A193" s="50"/>
      <x:c r="B193" s="50"/>
      <x:c r="C193" s="50"/>
      <x:c r="D193" s="50"/>
      <x:c r="E193" s="50"/>
    </x:row>
    <x:row r="194">
      <x:c r="A194" s="50"/>
      <x:c r="B194" s="50"/>
      <x:c r="C194" s="50"/>
      <x:c r="D194" s="50"/>
      <x:c r="E194" s="50"/>
    </x:row>
    <x:row r="195">
      <x:c r="A195" s="50"/>
      <x:c r="B195" s="50"/>
      <x:c r="C195" s="50"/>
      <x:c r="D195" s="50"/>
      <x:c r="E195" s="50"/>
    </x:row>
    <x:row r="196">
      <x:c r="A196" s="50"/>
      <x:c r="B196" s="50"/>
      <x:c r="C196" s="50"/>
      <x:c r="D196" s="50"/>
      <x:c r="E196" s="50"/>
    </x:row>
    <x:row r="197">
      <x:c r="A197" s="50"/>
      <x:c r="B197" s="50"/>
      <x:c r="C197" s="50"/>
      <x:c r="D197" s="50"/>
      <x:c r="E197" s="50"/>
    </x:row>
    <x:row r="198">
      <x:c r="A198" s="50"/>
      <x:c r="B198" s="50"/>
      <x:c r="C198" s="50"/>
      <x:c r="D198" s="50"/>
      <x:c r="E198" s="50"/>
    </x:row>
    <x:row r="199">
      <x:c r="A199" s="50"/>
      <x:c r="B199" s="50"/>
      <x:c r="C199" s="50"/>
      <x:c r="D199" s="50"/>
      <x:c r="E199" s="50"/>
    </x:row>
    <x:row r="200">
      <x:c r="A200" s="50"/>
      <x:c r="B200" s="50"/>
      <x:c r="C200" s="50"/>
      <x:c r="D200" s="50"/>
      <x:c r="E200" s="50"/>
    </x:row>
    <x:row r="201">
      <x:c r="A201" s="50"/>
      <x:c r="B201" s="50"/>
      <x:c r="C201" s="50"/>
      <x:c r="D201" s="50"/>
      <x:c r="E201" s="50"/>
    </x:row>
    <x:row r="202">
      <x:c r="A202" s="50"/>
      <x:c r="B202" s="50"/>
      <x:c r="C202" s="50"/>
      <x:c r="D202" s="50"/>
      <x:c r="E202" s="50"/>
    </x:row>
    <x:row r="203">
      <x:c r="A203" s="50"/>
      <x:c r="B203" s="50"/>
      <x:c r="C203" s="50"/>
      <x:c r="D203" s="50"/>
      <x:c r="E203" s="50"/>
    </x:row>
    <x:row r="204">
      <x:c r="A204" s="50"/>
      <x:c r="B204" s="50"/>
      <x:c r="C204" s="50"/>
      <x:c r="D204" s="50"/>
      <x:c r="E204" s="50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整骨院web｜個別営業 管理ガイド</x:v>
      </x:c>
      <x:c r="B1" s="3"/>
      <x:c r="C1" s="3"/>
      <x:c r="D1" s="3"/>
      <x:c r="E1" s="3"/>
      <x:c r="F1" s="3"/>
      <x:c r="G1" s="3"/>
      <x:c r="H1" s="3"/>
    </x:row>
    <x:row r="3">
      <x:c r="A3" s="51" t="str">
        <x:v>設定項目</x:v>
      </x:c>
      <x:c r="B3" s="52" t="str">
        <x:v>値</x:v>
      </x:c>
    </x:row>
    <x:row r="4">
      <x:c r="A4" s="53" t="str">
        <x:v>追客までの日数</x:v>
      </x:c>
      <x:c r="B4" s="54" t="n">
        <x:v>7</x:v>
      </x:c>
    </x:row>
    <x:row r="5">
      <x:c r="A5" s="55" t="str">
        <x:v>追客上限回数</x:v>
      </x:c>
      <x:c r="B5" s="56" t="n">
        <x:v>1</x:v>
      </x:c>
    </x:row>
    <x:row r="7">
      <x:c r="A7" s="10" t="str">
        <x:v>運用ルール</x:v>
      </x:c>
      <x:c r="B7" s="10"/>
      <x:c r="C7" s="10"/>
      <x:c r="D7" s="10"/>
      <x:c r="E7" s="10"/>
      <x:c r="F7" s="10"/>
      <x:c r="G7" s="10"/>
      <x:c r="H7" s="10"/>
    </x:row>
    <x:row r="8">
      <x:c r="A8" s="13" t="str">
        <x:v>1. 営業名簿の黄色いセルへ院情報を入力します。</x:v>
      </x:c>
      <x:c r="B8" s="13"/>
      <x:c r="C8" s="13"/>
      <x:c r="D8" s="13"/>
      <x:c r="E8" s="13"/>
      <x:c r="F8" s="13"/>
      <x:c r="G8" s="13"/>
      <x:c r="H8" s="13"/>
    </x:row>
    <x:row r="9">
      <x:c r="A9" s="13" t="str">
        <x:v>2. 初回送信後に「初回送信日」を入力すると、追客予定日が自動計算されます。</x:v>
      </x:c>
      <x:c r="B9" s="13"/>
      <x:c r="C9" s="13"/>
      <x:c r="D9" s="13"/>
      <x:c r="E9" s="13"/>
      <x:c r="F9" s="13"/>
      <x:c r="G9" s="13"/>
      <x:c r="H9" s="13"/>
    </x:row>
    <x:row r="10">
      <x:c r="A10" s="13" t="str">
        <x:v>3. 返信がなければ、追客予定日以降に「今日の対応」へ追客対象として表示されます。</x:v>
      </x:c>
      <x:c r="B10" s="13"/>
      <x:c r="C10" s="13"/>
      <x:c r="D10" s="13"/>
      <x:c r="E10" s="13"/>
      <x:c r="F10" s="13"/>
      <x:c r="G10" s="13"/>
      <x:c r="H10" s="13"/>
    </x:row>
    <x:row r="11">
      <x:c r="A11" s="13" t="str">
        <x:v>4. 追客した日は「追客送信日」を入力します。追客は1回までです。</x:v>
      </x:c>
      <x:c r="B11" s="13"/>
      <x:c r="C11" s="13"/>
      <x:c r="D11" s="13"/>
      <x:c r="E11" s="13"/>
      <x:c r="F11" s="13"/>
      <x:c r="G11" s="13"/>
      <x:c r="H11" s="13"/>
    </x:row>
    <x:row r="12">
      <x:c r="A12" s="13" t="str">
        <x:v>5. 返信状況を更新すると、次の対応とステータスが自動更新されます。</x:v>
      </x:c>
      <x:c r="B12" s="13"/>
      <x:c r="C12" s="13"/>
      <x:c r="D12" s="13"/>
      <x:c r="E12" s="13"/>
      <x:c r="F12" s="13"/>
      <x:c r="G12" s="13"/>
      <x:c r="H12" s="13"/>
    </x:row>
    <x:row r="13">
      <x:c r="A13" s="13" t="str">
        <x:v>6. 営業拒否を「はい」にすると送信禁止リストへ自動表示され、以後の営業対象から除外されます。</x:v>
      </x:c>
      <x:c r="B13" s="13"/>
      <x:c r="C13" s="13"/>
      <x:c r="D13" s="13"/>
      <x:c r="E13" s="13"/>
      <x:c r="F13" s="13"/>
      <x:c r="G13" s="13"/>
      <x:c r="H13" s="13"/>
    </x:row>
    <x:row r="14">
      <x:c r="A14" s="13" t="str">
        <x:v>7. 同じ院への重複登録を避け、送信前にサイト上の『営業メールお断り』表示も確認します。</x:v>
      </x:c>
      <x:c r="B14" s="13"/>
      <x:c r="C14" s="13"/>
      <x:c r="D14" s="13"/>
      <x:c r="E14" s="13"/>
      <x:c r="F14" s="13"/>
      <x:c r="G14" s="13"/>
      <x:c r="H14" s="13"/>
    </x:row>
    <x:row r="16">
      <x:c r="A16" s="15" t="str">
        <x:v>色の見方： 黄色＝入力欄　オレンジ＝要対応　赤＝送信禁止　緑＝返信・成約</x:v>
      </x:c>
      <x:c r="B16" s="15"/>
      <x:c r="C16" s="15"/>
      <x:c r="D16" s="15"/>
      <x:c r="E16" s="15"/>
      <x:c r="F16" s="15"/>
      <x:c r="G16" s="15"/>
      <x:c r="H16" s="15"/>
    </x:row>
  </x:sheetData>
  <x:mergeCells>
    <x:mergeCell ref="A1:H1"/>
    <x:mergeCell ref="A7:H7"/>
    <x:mergeCell ref="A8:H8"/>
    <x:mergeCell ref="A9:H9"/>
    <x:mergeCell ref="A10:H10"/>
    <x:mergeCell ref="A11:H11"/>
    <x:mergeCell ref="A12:H12"/>
    <x:mergeCell ref="A13:H13"/>
    <x:mergeCell ref="A14:H14"/>
    <x:mergeCell ref="A16:H16"/>
  </x:mergeCells>
  <x:pageMargins left="0.7" right="0.7" top="0.75" bottom="0.75" header="0.3" footer="0.3"/>
</x:worksheet>
</file>