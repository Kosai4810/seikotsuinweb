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76886bd50b40df" /></Relationships>
</file>

<file path=xl/workbook.xml><?xml version="1.0" encoding="utf-8"?>
<x:workbook xmlns:x="http://schemas.openxmlformats.org/spreadsheetml/2006/main">
  <x:sheets>
    <x:sheet xmlns:r="http://schemas.openxmlformats.org/officeDocument/2006/relationships" name="ティア1候補" sheetId="1" r:id="R2893bf26669f4394"/>
    <x:sheet xmlns:r="http://schemas.openxmlformats.org/officeDocument/2006/relationships" name="運用ルール" sheetId="2" r:id="R1c13f97e005041f0"/>
    <x:sheet xmlns:r="http://schemas.openxmlformats.org/officeDocument/2006/relationships" name="調査根拠" sheetId="3" r:id="R9339016750094ed4"/>
    <x:sheet xmlns:r="http://schemas.openxmlformats.org/officeDocument/2006/relationships" name="メール全文" sheetId="4" r:id="R9dab985721034eb4"/>
  </x:sheets>
</x:workbook>
</file>

<file path=xl/sharedStrings.xml><?xml version="1.0" encoding="utf-8"?>
<x:sst xmlns:x="http://schemas.openxmlformats.org/spreadsheetml/2006/main">
  <x:si>
    <x:t xml:space="preserve">No.</x:t>
  </x:si>
  <x:si>
    <x:t xml:space="preserve">ティア</x:t>
  </x:si>
  <x:si>
    <x:t xml:space="preserve">HP分類</x:t>
  </x:si>
  <x:si>
    <x:t xml:space="preserve">院名</x:t>
  </x:si>
  <x:si>
    <x:t xml:space="preserve">都道府県</x:t>
  </x:si>
  <x:si>
    <x:t xml:space="preserve">市区町村</x:t>
  </x:si>
  <x:si>
    <x:t xml:space="preserve">住所</x:t>
  </x:si>
  <x:si>
    <x:t xml:space="preserve">開業・届出日</x:t>
  </x:si>
  <x:si>
    <x:t xml:space="preserve">経過月数</x:t>
  </x:si>
  <x:si>
    <x:t xml:space="preserve">判定確度</x:t>
  </x:si>
  <x:si>
    <x:t xml:space="preserve">Web状況</x:t>
  </x:si>
  <x:si>
    <x:t xml:space="preserve">連絡方法</x:t>
  </x:si>
  <x:si>
    <x:t xml:space="preserve">メールアドレス</x:t>
  </x:si>
  <x:si>
    <x:t xml:space="preserve">確認した特徴</x:t>
  </x:si>
  <x:si>
    <x:t xml:space="preserve">提案内容</x:t>
  </x:si>
  <x:si>
    <x:t xml:space="preserve">追客メール本文</x:t>
  </x:si>
  <x:si>
    <x:t xml:space="preserve">初回送信日</x:t>
  </x:si>
  <x:si>
    <x:t xml:space="preserve">追客予定日</x:t>
  </x:si>
  <x:si>
    <x:t xml:space="preserve">送信回数</x:t>
  </x:si>
  <x:si>
    <x:t xml:space="preserve">返信状況</x:t>
  </x:si>
  <x:si>
    <x:t xml:space="preserve">送信禁止</x:t>
  </x:si>
  <x:si>
    <x:t xml:space="preserve">判定理由・注意</x:t>
  </x:si>
  <x:si>
    <x:t xml:space="preserve">根拠URL</x:t>
  </x:si>
  <x:si>
    <x:t xml:space="preserve">C</x:t>
  </x:si>
  <x:si>
    <x:t xml:space="preserve">SAIKI整骨院</x:t>
  </x:si>
  <x:si>
    <x:t xml:space="preserve">大阪府</x:t>
  </x:si>
  <x:si>
    <x:t xml:space="preserve">寝屋川市</x:t>
  </x:si>
  <x:si>
    <x:t xml:space="preserve">香里新町15-12</x:t>
  </x:si>
  <x:si>
    <x:t xml:space="preserve">高</x:t>
  </x:si>
  <x:si>
    <x:t xml:space="preserve">未確認</x:t>
  </x:si>
  <x:si>
    <x:t xml:space="preserve">件名：Re:【SAIKI整骨院様】開院後のWeb集客についてご提案です
SAIKI整骨院
ご担当者様
先日、ホームページ制作についてご連絡したWEBBRIOの柴藤です。
その後ご検討状況はいかがでしょうか。
SAIKI整骨院様向けに、必要なページ構成と予約導線の簡単な案を無料でお作りできます。ご興味がございましたら、このメールへ一言ご返信いただければ対応いたします。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</x:si>
  <x:si>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未送信</x:t>
  </x:si>
  <x:si>
    <x:t xml:space="preserve">いいえ</x:t>
  </x:si>
  <x:si>
    <x:t xml:space="preserve">谷六からほり整骨院</x:t>
  </x:si>
  <x:si>
    <x:t xml:space="preserve">大阪市中央区</x:t>
  </x:si>
  <x:si>
    <x:t xml:space="preserve">上本町西2丁目4-17</x:t>
  </x:si>
  <x:si>
    <x:t xml:space="preserve">低・開業日要確認</x:t>
  </x:si>
  <x:si>
    <x:t xml:space="preserve">件名：Re:【谷六からほり整骨院様】開院後のWeb集客についてご提案です
谷六からほり整骨院
ご担当者様
先日、ホームページ制作についてご連絡したWEBBRIOの柴藤です。
その後ご検討状況はいかがでしょうか。
谷六からほり整骨院様向けに、必要なページ構成と予約導線の簡単な案を無料でお作りできます。ご興味がございましたら、このメールへ一言ご返信いただければ対応いたします。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</x:si>
  <x:si>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香里園たいじゅ整骨院</x:t>
  </x:si>
  <x:si>
    <x:t xml:space="preserve">香里新町26-3 香里メディカルビル1F</x:t>
  </x:si>
  <x:si>
    <x:t xml:space="preserve">件名：Re:【香里園たいじゅ整骨院様】開院後のWeb集客についてご提案です
香里園たいじゅ整骨院
ご担当者様
先日、ホームページ制作についてご連絡したWEBBRIOの柴藤です。
その後ご検討状況はいかがでしょうか。
香里園たいじゅ整骨院様向けに、必要なページ構成と予約導線の簡単な案を無料でお作りできます。ご興味がございましたら、このメールへ一言ご返信いただければ対応いたします。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</x:si>
  <x:si>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with.鍼灸整骨院 西明石院</x:t>
  </x:si>
  <x:si>
    <x:t xml:space="preserve">兵庫県</x:t>
  </x:si>
  <x:si>
    <x:t xml:space="preserve">明石市</x:t>
  </x:si>
  <x:si>
    <x:t xml:space="preserve">和坂13-5 プラスパ西明石102</x:t>
  </x:si>
  <x:si>
    <x:t xml:space="preserve">中</x:t>
  </x:si>
  <x:si>
    <x:t xml:space="preserve">件名：Re:【with.鍼灸整骨院 西明石院様】開院後のWeb集客についてご提案です
with.鍼灸整骨院 西明石院
ご担当者様
先日、ホームページ制作についてご連絡したWEBBRIOの柴藤です。
その後ご検討状況はいかがでしょうか。
with.鍼灸整骨院 西明石院様向けに、必要なページ構成と予約導線の簡単な案を無料でお作りできます。ご興味がございましたら、このメールへ一言ご返信いただければ対応いたします。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</x:si>
  <x:si>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がいし鍼灸院・接骨院</x:t>
  </x:si>
  <x:si>
    <x:t xml:space="preserve">広島県</x:t>
  </x:si>
  <x:si>
    <x:t xml:space="preserve">広島市安佐南区</x:t>
  </x:si>
  <x:si>
    <x:t xml:space="preserve">伴東2丁目3-13</x:t>
  </x:si>
  <x:si>
    <x:t xml:space="preserve">件名：Re:【がいし鍼灸院・接骨院様】開院後のWeb集客についてご提案です
がいし鍼灸院・接骨院
ご担当者様
先日、ホームページ制作についてご連絡したWEBBRIOの柴藤です。
その後ご検討状況はいかがでしょうか。
がいし鍼灸院・接骨院様向けに、必要なページ構成と予約導線の簡単な案を無料でお作りできます。ご興味がございましたら、このメールへ一言ご返信いただければ対応いたします。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</x:si>
  <x:si>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ひさもり鍼灸・整骨院</x:t>
  </x:si>
  <x:si>
    <x:t xml:space="preserve">上安2丁目16-18-101</x:t>
  </x:si>
  <x:si>
    <x:t xml:space="preserve">件名：Re:【ひさもり鍼灸・整骨院様】開院後のWeb集客についてご提案です
ひさもり鍼灸・整骨院
ご担当者様
先日、ホームページ制作についてご連絡したWEBBRIOの柴藤です。
その後ご検討状況はいかがでしょうか。
ひさもり鍼灸・整骨院様向けに、必要なページ構成と予約導線の簡単な案を無料でお作りできます。ご興味がございましたら、このメールへ一言ご返信いただければ対応いたします。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</x:si>
  <x:si>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なぎさ接骨院・鍼灸院</x:t>
  </x:si>
  <x:si>
    <x:t xml:space="preserve">広島市東区</x:t>
  </x:si>
  <x:si>
    <x:t xml:space="preserve">牛田本町2丁目8-5</x:t>
  </x:si>
  <x:si>
    <x:t xml:space="preserve">件名：Re:【なぎさ接骨院・鍼灸院様】開院後のWeb集客についてご提案です
なぎさ接骨院・鍼灸院
ご担当者様
先日、ホームページ制作についてご連絡したWEBBRIOの柴藤です。
その後ご検討状況はいかがでしょうか。
なぎさ接骨院・鍼灸院様向けに、必要なページ構成と予約導線の簡単な案を無料でお作りできます。ご興味がございましたら、このメールへ一言ご返信いただければ対応いたします。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</x:si>
  <x:si>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みやび整骨院</x:t>
  </x:si>
  <x:si>
    <x:t xml:space="preserve">毘沙門台2丁目41-31</x:t>
  </x:si>
  <x:si>
    <x:t xml:space="preserve">件名：Re:【みやび整骨院様】開院後のWeb集客についてご提案です
みやび整骨院
ご担当者様
先日、ホームページ制作についてご連絡したWEBBRIOの柴藤です。
その後ご検討状況はいかがでしょうか。
みやび整骨院様向けに、必要なページ構成と予約導線の簡単な案を無料でお作りできます。ご興味がございましたら、このメールへ一言ご返信いただければ対応いたします。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</x:si>
  <x:si>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ひろがる接骨院・鍼灸院 広島スタジアム前院</x:t>
  </x:si>
  <x:si>
    <x:t xml:space="preserve">広島市南区</x:t>
  </x:si>
  <x:si>
    <x:t xml:space="preserve">南蟹屋1丁目1-25</x:t>
  </x:si>
  <x:si>
    <x:t xml:space="preserve">件名：Re:【ひろがる接骨院・鍼灸院 広島スタジアム前院様】開院後のWeb集客についてご提案です
ひろがる接骨院・鍼灸院 広島スタジアム前院
ご担当者様
先日、ホームページ制作についてご連絡したWEBBRIOの柴藤です。
その後ご検討状況はいかがでしょうか。
ひろがる接骨院・鍼灸院 広島スタジアム前院様向けに、必要なページ構成と予約導線の簡単な案を無料でお作りできます。ご興味がございましたら、このメールへ一言ご返信いただければ対応いたします。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</x:si>
  <x:si>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ヤマニシ鍼灸整骨院（鶴見町新所在地）</x:t>
  </x:si>
  <x:si>
    <x:t xml:space="preserve">広島市中区</x:t>
  </x:si>
  <x:si>
    <x:t xml:space="preserve">鶴見町11-8-606</x:t>
  </x:si>
  <x:si>
    <x:t xml:space="preserve">低・移転等要確認</x:t>
  </x:si>
  <x:si>
    <x:t xml:space="preserve">件名：Re:【ヤマニシ鍼灸整骨院（鶴見町新所在地）様】開院後のWeb集客についてご提案です
ヤマニシ鍼灸整骨院（鶴見町新所在地）
ご担当者様
先日、ホームページ制作についてご連絡したWEBBRIOの柴藤です。
その後ご検討状況はいかがでしょうか。
ヤマニシ鍼灸整骨院（鶴見町新所在地）様向けに、必要なページ構成と予約導線の簡単な案を無料でお作りできます。ご興味がございましたら、このメールへ一言ご返信いただければ対応いたします。
今回のご案内が不要でしたら、以後こちらからご連絡いたしません。
WEBBRIO
柴藤 嵩斎</x:t>
  </x:si>
  <x:si>
    <x:t xml:space="preserve">整骨院web 営業リスト運用ルール</x:t>
  </x:si>
  <x:si>
    <x:t xml:space="preserve">項目</x:t>
  </x:si>
  <x:si>
    <x:t xml:space="preserve">ルール</x:t>
  </x:si>
  <x:si>
    <x:t xml:space="preserve">ティア1</x:t>
  </x:si>
  <x:si>
    <x:t xml:space="preserve">開業半年未満かつ独自HPがないC。今回の一覧は公開情報による候補で、送信直前に再確認する。</x:t>
  </x:si>
  <x:si>
    <x:t xml:space="preserve">初回送信</x:t>
  </x:si>
  <x:si>
    <x:t xml:space="preserve">個別調査済みの本文だけを使用。宛先・院名・事実関係を確認してから送信。</x:t>
  </x:si>
  <x:si>
    <x:t xml:space="preserve">追客</x:t>
  </x:si>
  <x:si>
    <x:t xml:space="preserve">返信がない場合のみ7日後を目安に1回まで。</x:t>
  </x:si>
  <x:si>
    <x:t xml:space="preserve">最大2回（初回1回＋追客1回）。</x:t>
  </x:si>
  <x:si>
    <x:t xml:space="preserve">拒否・配信停止依頼・閉院・連絡先誤りは即「はい」。以後送らない。</x:t>
  </x:si>
  <x:si>
    <x:t xml:space="preserve">電話</x:t>
  </x:si>
  <x:si>
    <x:t xml:space="preserve">公開電話番号は患者予約用の可能性があるため、営業電話には原則使用しない。</x:t>
  </x:si>
  <x:si>
    <x:t xml:space="preserve">公開メール</x:t>
  </x:si>
  <x:si>
    <x:t xml:space="preserve">営業利用を禁止している掲載ページの連絡先は使用しない。</x:t>
  </x:si>
  <x:si>
    <x:t xml:space="preserve">事実確認</x:t>
  </x:si>
  <x:si>
    <x:t xml:space="preserve">開業日、独自HPの有無、院名、所在地、連絡経路を送信当日に再確認。</x:t>
  </x:si>
  <x:si>
    <x:t xml:space="preserve">下書き保存</x:t>
  </x:si>
  <x:si>
    <x:t xml:space="preserve">Gmailに作成する内容とExcelの初回・追客本文を一致させる。</x:t>
  </x:si>
  <x:si>
    <x:t xml:space="preserve">根拠区分</x:t>
  </x:si>
  <x:si>
    <x:t xml:space="preserve">HP判定</x:t>
  </x:si>
  <x:si>
    <x:t xml:space="preserve">送信前確認</x:t>
  </x:si>
  <x:si>
    <x:t xml:space="preserve">地域記事・施設掲載</x:t>
  </x:si>
  <x:si>
    <x:t xml:space="preserve">自治体の開設届公表資料</x:t>
  </x:si>
</x:sst>
</file>

<file path=xl/styles.xml><?xml version="1.0" encoding="utf-8"?>
<x:styleSheet xmlns:x="http://schemas.openxmlformats.org/spreadsheetml/2006/main">
  <x:numFmts count="1">
    <x:numFmt numFmtId="176" formatCode="yyyy\-mm\-dd"/>
  </x:numFmts>
  <x:fonts count="10">
    <x:font>
      <x:sz val="11"/>
      <x:name val="Carlito"/>
    </x:font>
    <x:font>
      <x:b/>
      <x:sz val="11"/>
      <x:color rgb="FFFFFFFF"/>
      <x:name val="Carlito"/>
    </x:font>
    <x:font>
      <x:sz val="11"/>
      <x:color rgb="FF2A2620"/>
      <x:name val="Carlito"/>
    </x:font>
    <x:font>
      <x:b/>
      <x:sz val="11"/>
      <x:color rgb="FF806334"/>
      <x:name val="Carlito"/>
    </x:font>
    <x:font>
      <x:b/>
      <x:sz val="18"/>
      <x:color rgb="FFFFFFFF"/>
      <x:name val="Carlito"/>
    </x:font>
    <x:font>
      <x:sz val="11"/>
      <x:name val="Carlito"/>
    </x:font>
    <x:font>
      <x:sz val="6"/>
      <x:name val="Tsukushi A Round Gothic Bold"/>
    </x:font>
    <x:font>
      <x:b/>
      <x:sz val="11"/>
      <x:color rgb="FF2A2620"/>
      <x:name val="Carlito"/>
    </x:font>
    <x:font>
      <x:b/>
      <x:sz val="11"/>
      <x:color rgb="FF5F4922"/>
      <x:name val="Carlito"/>
    </x:font>
    <x:font>
      <x:sz val="11"/>
      <x:color rgb="FF4A4338"/>
      <x:name val="Carlito"/>
    </x:font>
  </x:fonts>
  <x:fills count="11">
    <x:fill>
      <x:patternFill patternType="none"/>
    </x:fill>
    <x:fill>
      <x:patternFill patternType="gray125"/>
    </x:fill>
    <x:fill>
      <x:patternFill patternType="solid">
        <x:fgColor rgb="FF806334"/>
      </x:patternFill>
    </x:fill>
    <x:fill>
      <x:patternFill patternType="solid">
        <x:fgColor rgb="FFF2E6CC"/>
      </x:patternFill>
    </x:fill>
    <x:fill>
      <x:patternFill patternType="solid">
        <x:fgColor rgb="FFA88750"/>
      </x:patternFill>
    </x:fill>
    <x:fill>
      <x:patternFill patternType="solid">
        <x:fgColor rgb="FF806334"/>
      </x:patternFill>
    </x:fill>
    <x:fill>
      <x:patternFill patternType="solid">
        <x:fgColor rgb="FFB3935B"/>
      </x:patternFill>
    </x:fill>
    <x:fill>
      <x:patternFill patternType="solid">
        <x:fgColor rgb="FFFFF2CC"/>
      </x:patternFill>
    </x:fill>
    <x:fill>
      <x:patternFill patternType="solid">
        <x:fgColor rgb="FFE9DFC9"/>
      </x:patternFill>
    </x:fill>
    <x:fill>
      <x:patternFill patternType="solid">
        <x:fgColor rgb="FFFAF7F0"/>
      </x:patternFill>
    </x:fill>
    <x:fill>
      <x:patternFill patternType="solid">
        <x:fgColor rgb="FFFFFFFF"/>
      </x:patternFill>
    </x:fill>
  </x:fills>
  <x:borders count="21">
    <x:border/>
    <x:border>
      <x:bottom style="thin">
        <x:color rgb="FFDDD4C5"/>
      </x:bottom>
    </x:border>
    <x:border>
      <x:top style="thin">
        <x:color rgb="FFDDD4C5"/>
      </x:top>
      <x:bottom style="thin">
        <x:color rgb="FFDDD4C5"/>
      </x:bottom>
    </x:border>
    <x:border>
      <x:top style="thin">
        <x:color rgb="FFDDD4C5"/>
      </x:top>
      <x:bottom style="thin">
        <x:color rgb="FFB8A98F"/>
      </x:bottom>
    </x:border>
    <x:border>
      <x:top style="thin">
        <x:color rgb="FFDDD4C5"/>
      </x:top>
    </x:border>
    <x:border>
      <x:left style="thin">
        <x:color rgb="FFB3935B"/>
      </x:left>
      <x:top style="thin">
        <x:color rgb="FFB3935B"/>
      </x:top>
      <x:bottom style="thin">
        <x:color rgb="FFB3935B"/>
      </x:bottom>
    </x:border>
    <x:border>
      <x:right style="thin">
        <x:color rgb="FFB3935B"/>
      </x:right>
      <x:top style="thin">
        <x:color rgb="FFB3935B"/>
      </x:top>
      <x:bottom style="thin">
        <x:color rgb="FFB3935B"/>
      </x:bottom>
    </x:border>
    <x:border>
      <x:left style="thin">
        <x:color rgb="FFDDD4C5"/>
      </x:left>
      <x:top style="thin">
        <x:color rgb="FFDDD4C5"/>
      </x:top>
    </x:border>
    <x:border>
      <x:right style="thin">
        <x:color rgb="FFDDD4C5"/>
      </x:right>
      <x:top style="thin">
        <x:color rgb="FFDDD4C5"/>
      </x:top>
    </x:border>
    <x:border>
      <x:left style="thin">
        <x:color rgb="FFDDD4C5"/>
      </x:left>
    </x:border>
    <x:border>
      <x:right style="thin">
        <x:color rgb="FFDDD4C5"/>
      </x:right>
    </x:border>
    <x:border>
      <x:left style="thin">
        <x:color rgb="FFDDD4C5"/>
      </x:left>
      <x:bottom style="thin">
        <x:color rgb="FFDDD4C5"/>
      </x:bottom>
    </x:border>
    <x:border>
      <x:right style="thin">
        <x:color rgb="FFDDD4C5"/>
      </x:right>
      <x:bottom style="thin">
        <x:color rgb="FFDDD4C5"/>
      </x:bottom>
    </x:border>
    <x:border>
      <x:left style="thin">
        <x:color rgb="FFB3935B"/>
      </x:left>
      <x:top style="thin">
        <x:color rgb="FFB3935B"/>
      </x:top>
    </x:border>
    <x:border>
      <x:top style="thin">
        <x:color rgb="FFB3935B"/>
      </x:top>
    </x:border>
    <x:border>
      <x:right style="thin">
        <x:color rgb="FFB3935B"/>
      </x:right>
      <x:top style="thin">
        <x:color rgb="FFB3935B"/>
      </x:top>
    </x:border>
    <x:border>
      <x:left style="thin">
        <x:color rgb="FFB3935B"/>
      </x:left>
    </x:border>
    <x:border>
      <x:right style="thin">
        <x:color rgb="FFB3935B"/>
      </x:right>
    </x:border>
    <x:border>
      <x:left style="thin">
        <x:color rgb="FFB3935B"/>
      </x:left>
      <x:bottom style="thin">
        <x:color rgb="FFB3935B"/>
      </x:bottom>
    </x:border>
    <x:border>
      <x:bottom style="thin">
        <x:color rgb="FFB3935B"/>
      </x:bottom>
    </x:border>
    <x:border>
      <x:right style="thin">
        <x:color rgb="FFB3935B"/>
      </x:right>
      <x:bottom style="thin">
        <x:color rgb="FFB3935B"/>
      </x:bottom>
    </x:border>
  </x:borders>
  <x:cellStyleXfs count="2">
    <x:xf numFmtId="0" fontId="0" fillId="0" borderId="0"/>
    <x:xf numFmtId="0" fontId="5" fillId="0" borderId="0"/>
  </x:cellStyleXfs>
  <x:cellXfs count="139">
    <x:xf numFmtId="0" fontId="0" fillId="0" borderId="0" xfId="0"/>
    <x:xf numFmtId="0" fontId="1" fillId="2" borderId="1" xfId="1" applyFont="1" applyFill="1" applyBorder="1" applyAlignment="1">
      <x:alignment vertical="center" wrapText="1"/>
    </x:xf>
    <x:xf numFmtId="0" fontId="2" fillId="0" borderId="2" xfId="1" applyFont="1" applyBorder="1" applyAlignment="1">
      <x:alignment vertical="top"/>
    </x:xf>
    <x:xf numFmtId="176" fontId="2" fillId="0" borderId="2" xfId="1" applyNumberFormat="1" applyFont="1" applyBorder="1" applyAlignment="1">
      <x:alignment vertical="top"/>
    </x:xf>
    <x:xf numFmtId="0" fontId="2" fillId="0" borderId="2" xfId="1" applyFont="1" applyBorder="1" applyAlignment="1">
      <x:alignment vertical="top" wrapText="1"/>
    </x:xf>
    <x:xf numFmtId="0" fontId="2" fillId="0" borderId="3" xfId="1" applyFont="1" applyBorder="1" applyAlignment="1">
      <x:alignment vertical="top"/>
    </x:xf>
    <x:xf numFmtId="176" fontId="2" fillId="0" borderId="3" xfId="1" applyNumberFormat="1" applyFont="1" applyBorder="1" applyAlignment="1">
      <x:alignment vertical="top"/>
    </x:xf>
    <x:xf numFmtId="0" fontId="2" fillId="0" borderId="3" xfId="1" applyFont="1" applyBorder="1" applyAlignment="1">
      <x:alignment vertical="top" wrapText="1"/>
    </x:xf>
    <x:xf numFmtId="0" fontId="3" fillId="3" borderId="2" xfId="1" applyFont="1" applyFill="1" applyBorder="1" applyAlignment="1">
      <x:alignment horizontal="center" vertical="top"/>
    </x:xf>
    <x:xf numFmtId="0" fontId="3" fillId="3" borderId="3" xfId="1" applyFont="1" applyFill="1" applyBorder="1" applyAlignment="1">
      <x:alignment horizontal="center" vertical="top"/>
    </x:xf>
    <x:xf numFmtId="0" fontId="2" fillId="0" borderId="2" xfId="1" applyFont="1" applyBorder="1" applyAlignment="1">
      <x:alignment horizontal="center" vertical="top"/>
    </x:xf>
    <x:xf numFmtId="0" fontId="2" fillId="0" borderId="3" xfId="1" applyFont="1" applyBorder="1" applyAlignment="1">
      <x:alignment horizontal="center" vertical="top"/>
    </x:xf>
    <x:xf numFmtId="176" fontId="2" fillId="0" borderId="2" xfId="1" applyNumberFormat="1" applyFont="1" applyBorder="1" applyAlignment="1">
      <x:alignment horizontal="center" vertical="top"/>
    </x:xf>
    <x:xf numFmtId="0" fontId="2" fillId="0" borderId="2" xfId="1" applyFont="1" applyBorder="1" applyAlignment="1">
      <x:alignment horizontal="center" vertical="top" wrapText="1"/>
    </x:xf>
    <x:xf numFmtId="176" fontId="2" fillId="0" borderId="3" xfId="1" applyNumberFormat="1" applyFont="1" applyBorder="1" applyAlignment="1">
      <x:alignment horizontal="center" vertical="top"/>
    </x:xf>
    <x:xf numFmtId="0" fontId="2" fillId="0" borderId="3" xfId="1" applyFont="1" applyBorder="1" applyAlignment="1">
      <x:alignment horizontal="center" vertical="top" wrapText="1"/>
    </x:xf>
    <x:xf numFmtId="0" fontId="1" fillId="4" borderId="1" xfId="1" applyFont="1" applyFill="1" applyBorder="1"/>
    <x:xf numFmtId="0" fontId="0" fillId="0" borderId="2" xfId="1" applyFont="1" applyBorder="1" applyAlignment="1">
      <x:alignment wrapText="1"/>
    </x:xf>
    <x:xf numFmtId="0" fontId="0" fillId="0" borderId="4" xfId="1" applyFont="1" applyBorder="1" applyAlignment="1">
      <x:alignment wrapText="1"/>
    </x:xf>
    <x:xf numFmtId="0" fontId="1" fillId="2" borderId="1" xfId="1" applyFont="1" applyFill="1" applyBorder="1" applyAlignment="1">
      <x:alignment wrapText="1"/>
    </x:xf>
    <x:xf numFmtId="176" fontId="0" fillId="0" borderId="2" xfId="1" applyNumberFormat="1" applyFont="1" applyBorder="1" applyAlignment="1">
      <x:alignment wrapText="1"/>
    </x:xf>
    <x:xf numFmtId="176" fontId="0" fillId="0" borderId="4" xfId="1" applyNumberFormat="1" applyFont="1" applyBorder="1" applyAlignment="1">
      <x:alignment wrapText="1"/>
    </x:xf>
    <x:xf numFmtId="0" fontId="4" fillId="2" borderId="0" xfId="1" applyFont="1" applyFill="1" applyAlignment="1">
      <x:alignment horizontal="left"/>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2" xfId="0" applyNumberFormat="1" applyFont="1" applyFill="1" applyBorder="1" applyAlignment="1">
      <x:alignment vertical="top" wrapText="0"/>
    </x:xf>
    <x:xf numFmtId="0" fontId="2" fillId="0" borderId="3" xfId="0" applyNumberFormat="1" applyFont="1" applyFill="1" applyBorder="1" applyAlignment="1">
      <x:alignment vertical="top" wrapText="0"/>
    </x:xf>
    <x:xf numFmtId="0" fontId="1" fillId="2" borderId="1" xfId="0" applyNumberFormat="1" applyFont="1" applyFill="1" applyBorder="1" applyAlignment="1">
      <x:alignment vertical="center" wrapText="1"/>
    </x:xf>
    <x:xf numFmtId="0" fontId="0" fillId="0" borderId="2" xfId="0" applyNumberFormat="1" applyFont="1" applyFill="1" applyBorder="1" applyAlignment="1">
      <x:alignment wrapText="1"/>
    </x:xf>
    <x:xf numFmtId="0" fontId="0" fillId="0" borderId="4"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vertic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vertical="center"/>
    </x:xf>
    <x:xf numFmtId="0" fontId="0" fillId="7" borderId="0" xfId="0" applyNumberFormat="1" applyFont="1" applyFill="1" applyBorder="1"/>
    <x:xf numFmtId="0" fontId="7" fillId="7" borderId="0" xfId="0" applyNumberFormat="1" applyFont="1" applyFill="1" applyBorder="1"/>
    <x:xf numFmtId="0" fontId="7" fillId="7" borderId="5" xfId="0" applyNumberFormat="1" applyFont="1" applyFill="1" applyBorder="1"/>
    <x:xf numFmtId="0" fontId="7" fillId="7" borderId="6" xfId="0" applyNumberFormat="1" applyFont="1" applyFill="1" applyBorder="1"/>
    <x:xf numFmtId="0" fontId="7" fillId="7" borderId="5" xfId="0" applyNumberFormat="1" applyFont="1" applyFill="1" applyBorder="1" applyAlignment="1">
      <x:alignment vertical="center"/>
    </x:xf>
    <x:xf numFmtId="0" fontId="7" fillId="7" borderId="6" xfId="0" applyNumberFormat="1" applyFont="1" applyFill="1" applyBorder="1" applyAlignment="1">
      <x:alignment vertical="center"/>
    </x:xf>
    <x:xf numFmtId="0" fontId="0" fillId="8" borderId="0" xfId="0" applyNumberFormat="1" applyFont="1" applyFill="1" applyBorder="1"/>
    <x:xf numFmtId="0" fontId="8" fillId="8" borderId="0" xfId="0" applyNumberFormat="1" applyFont="1" applyFill="1" applyBorder="1"/>
    <x:xf numFmtId="0" fontId="0" fillId="9" borderId="0" xfId="0" applyNumberFormat="1" applyFont="1" applyFill="1" applyBorder="1"/>
    <x:xf numFmtId="0" fontId="9" fillId="9" borderId="0" xfId="0" applyNumberFormat="1" applyFont="1" applyFill="1" applyBorder="1"/>
    <x:xf numFmtId="0" fontId="9" fillId="9" borderId="7" xfId="0" applyNumberFormat="1" applyFont="1" applyFill="1" applyBorder="1"/>
    <x:xf numFmtId="0" fontId="9" fillId="9" borderId="4" xfId="0" applyNumberFormat="1" applyFont="1" applyFill="1" applyBorder="1"/>
    <x:xf numFmtId="0" fontId="9" fillId="9" borderId="8" xfId="0" applyNumberFormat="1" applyFont="1" applyFill="1" applyBorder="1"/>
    <x:xf numFmtId="0" fontId="9" fillId="9" borderId="9" xfId="0" applyNumberFormat="1" applyFont="1" applyFill="1" applyBorder="1"/>
    <x:xf numFmtId="0" fontId="9" fillId="9" xfId="0" applyNumberFormat="1" applyFont="1" applyFill="1" applyBorder="0"/>
    <x:xf numFmtId="0" fontId="9" fillId="9" borderId="10" xfId="0" applyNumberFormat="1" applyFont="1" applyFill="1" applyBorder="1"/>
    <x:xf numFmtId="0" fontId="9" fillId="9" borderId="11" xfId="0" applyNumberFormat="1" applyFont="1" applyFill="1" applyBorder="1"/>
    <x:xf numFmtId="0" fontId="9" fillId="9" borderId="1" xfId="0" applyNumberFormat="1" applyFont="1" applyFill="1" applyBorder="1"/>
    <x:xf numFmtId="0" fontId="9" fillId="9" borderId="12" xfId="0" applyNumberFormat="1" applyFont="1" applyFill="1" applyBorder="1"/>
    <x:xf numFmtId="0" fontId="9" fillId="9" borderId="7" xfId="0" applyNumberFormat="1" applyFont="1" applyFill="1" applyBorder="1" applyAlignment="1">
      <x:alignment wrapText="1"/>
    </x:xf>
    <x:xf numFmtId="0" fontId="9" fillId="9" borderId="4" xfId="0" applyNumberFormat="1" applyFont="1" applyFill="1" applyBorder="1" applyAlignment="1">
      <x:alignment wrapText="1"/>
    </x:xf>
    <x:xf numFmtId="0" fontId="9" fillId="9" borderId="8" xfId="0" applyNumberFormat="1" applyFont="1" applyFill="1" applyBorder="1" applyAlignment="1">
      <x:alignment wrapText="1"/>
    </x:xf>
    <x:xf numFmtId="0" fontId="9" fillId="9" borderId="9" xfId="0" applyNumberFormat="1" applyFont="1" applyFill="1" applyBorder="1" applyAlignment="1">
      <x:alignment wrapText="1"/>
    </x:xf>
    <x:xf numFmtId="0" fontId="9" fillId="9" xfId="0" applyNumberFormat="1" applyFont="1" applyFill="1" applyBorder="0" applyAlignment="1">
      <x:alignment wrapText="1"/>
    </x:xf>
    <x:xf numFmtId="0" fontId="9" fillId="9" borderId="10" xfId="0" applyNumberFormat="1" applyFont="1" applyFill="1" applyBorder="1" applyAlignment="1">
      <x:alignment wrapText="1"/>
    </x:xf>
    <x:xf numFmtId="0" fontId="9" fillId="9" borderId="11" xfId="0" applyNumberFormat="1" applyFont="1" applyFill="1" applyBorder="1" applyAlignment="1">
      <x:alignment wrapText="1"/>
    </x:xf>
    <x:xf numFmtId="0" fontId="9" fillId="9" borderId="1" xfId="0" applyNumberFormat="1" applyFont="1" applyFill="1" applyBorder="1" applyAlignment="1">
      <x:alignment wrapText="1"/>
    </x:xf>
    <x:xf numFmtId="0" fontId="9" fillId="9" borderId="12" xfId="0" applyNumberFormat="1" applyFont="1" applyFill="1" applyBorder="1" applyAlignment="1">
      <x:alignment wrapText="1"/>
    </x:xf>
    <x:xf numFmtId="0" fontId="9" fillId="9" borderId="7" xfId="0" applyNumberFormat="1" applyFont="1" applyFill="1" applyBorder="1" applyAlignment="1">
      <x:alignment vertical="top" wrapText="1"/>
    </x:xf>
    <x:xf numFmtId="0" fontId="9" fillId="9" borderId="4" xfId="0" applyNumberFormat="1" applyFont="1" applyFill="1" applyBorder="1" applyAlignment="1">
      <x:alignment vertical="top" wrapText="1"/>
    </x:xf>
    <x:xf numFmtId="0" fontId="9" fillId="9" borderId="8" xfId="0" applyNumberFormat="1" applyFont="1" applyFill="1" applyBorder="1" applyAlignment="1">
      <x:alignment vertical="top" wrapText="1"/>
    </x:xf>
    <x:xf numFmtId="0" fontId="9" fillId="9" borderId="9" xfId="0" applyNumberFormat="1" applyFont="1" applyFill="1" applyBorder="1" applyAlignment="1">
      <x:alignment vertical="top" wrapText="1"/>
    </x:xf>
    <x:xf numFmtId="0" fontId="9" fillId="9" xfId="0" applyNumberFormat="1" applyFont="1" applyFill="1" applyBorder="0" applyAlignment="1">
      <x:alignment vertical="top" wrapText="1"/>
    </x:xf>
    <x:xf numFmtId="0" fontId="9" fillId="9" borderId="10" xfId="0" applyNumberFormat="1" applyFont="1" applyFill="1" applyBorder="1" applyAlignment="1">
      <x:alignment vertical="top" wrapText="1"/>
    </x:xf>
    <x:xf numFmtId="0" fontId="9" fillId="9" borderId="11"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9" borderId="12" xfId="0" applyNumberFormat="1" applyFont="1" applyFill="1" applyBorder="1" applyAlignment="1">
      <x:alignment vertical="top" wrapText="1"/>
    </x:xf>
    <x:xf numFmtId="0" fontId="2" fillId="9" borderId="0" xfId="0" applyNumberFormat="1" applyFont="1" applyFill="1" applyBorder="1"/>
    <x:xf numFmtId="0" fontId="2" fillId="9" borderId="7" xfId="0" applyNumberFormat="1" applyFont="1" applyFill="1" applyBorder="1"/>
    <x:xf numFmtId="0" fontId="2" fillId="9" borderId="4" xfId="0" applyNumberFormat="1" applyFont="1" applyFill="1" applyBorder="1"/>
    <x:xf numFmtId="0" fontId="2" fillId="9" borderId="8" xfId="0" applyNumberFormat="1" applyFont="1" applyFill="1" applyBorder="1"/>
    <x:xf numFmtId="0" fontId="2" fillId="9" borderId="9" xfId="0" applyNumberFormat="1" applyFont="1" applyFill="1" applyBorder="1"/>
    <x:xf numFmtId="0" fontId="2" fillId="9" xfId="0" applyNumberFormat="1" applyFont="1" applyFill="1" applyBorder="0"/>
    <x:xf numFmtId="0" fontId="2" fillId="9" borderId="10" xfId="0" applyNumberFormat="1" applyFont="1" applyFill="1" applyBorder="1"/>
    <x:xf numFmtId="0" fontId="2" fillId="9" borderId="11" xfId="0" applyNumberFormat="1" applyFont="1" applyFill="1" applyBorder="1"/>
    <x:xf numFmtId="0" fontId="2" fillId="9" borderId="1" xfId="0" applyNumberFormat="1" applyFont="1" applyFill="1" applyBorder="1"/>
    <x:xf numFmtId="0" fontId="2" fillId="9" borderId="12" xfId="0" applyNumberFormat="1" applyFont="1" applyFill="1" applyBorder="1"/>
    <x:xf numFmtId="0" fontId="2" fillId="9" borderId="7"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8" xfId="0" applyNumberFormat="1" applyFont="1" applyFill="1" applyBorder="1" applyAlignment="1">
      <x:alignment wrapText="1"/>
    </x:xf>
    <x:xf numFmtId="0" fontId="2" fillId="9" borderId="9" xfId="0" applyNumberFormat="1" applyFont="1" applyFill="1" applyBorder="1" applyAlignment="1">
      <x:alignment wrapText="1"/>
    </x:xf>
    <x:xf numFmtId="0" fontId="2" fillId="9" xfId="0" applyNumberFormat="1" applyFont="1" applyFill="1" applyBorder="0" applyAlignment="1">
      <x:alignment wrapText="1"/>
    </x:xf>
    <x:xf numFmtId="0" fontId="2" fillId="9" borderId="10" xfId="0" applyNumberFormat="1" applyFont="1" applyFill="1" applyBorder="1" applyAlignment="1">
      <x:alignment wrapText="1"/>
    </x:xf>
    <x:xf numFmtId="0" fontId="2" fillId="9" borderId="11" xfId="0" applyNumberFormat="1" applyFont="1" applyFill="1" applyBorder="1" applyAlignment="1">
      <x:alignment wrapText="1"/>
    </x:xf>
    <x:xf numFmtId="0" fontId="2" fillId="9" borderId="1" xfId="0" applyNumberFormat="1" applyFont="1" applyFill="1" applyBorder="1" applyAlignment="1">
      <x:alignment wrapText="1"/>
    </x:xf>
    <x:xf numFmtId="0" fontId="2" fillId="9" borderId="12" xfId="0" applyNumberFormat="1" applyFont="1" applyFill="1" applyBorder="1" applyAlignment="1">
      <x:alignment wrapText="1"/>
    </x:xf>
    <x:xf numFmtId="0" fontId="2" fillId="9" borderId="7"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2" fillId="9" borderId="8" xfId="0" applyNumberFormat="1" applyFont="1" applyFill="1" applyBorder="1" applyAlignment="1">
      <x:alignment vertical="top" wrapText="1"/>
    </x:xf>
    <x:xf numFmtId="0" fontId="2" fillId="9" borderId="9" xfId="0" applyNumberFormat="1" applyFont="1" applyFill="1" applyBorder="1" applyAlignment="1">
      <x:alignment vertical="top" wrapText="1"/>
    </x:xf>
    <x:xf numFmtId="0" fontId="2" fillId="9" xfId="0" applyNumberFormat="1" applyFont="1" applyFill="1" applyBorder="0" applyAlignment="1">
      <x:alignment vertical="top" wrapText="1"/>
    </x:xf>
    <x:xf numFmtId="0" fontId="2" fillId="9" borderId="10" xfId="0" applyNumberFormat="1" applyFont="1" applyFill="1" applyBorder="1" applyAlignment="1">
      <x:alignment vertical="top" wrapText="1"/>
    </x:xf>
    <x:xf numFmtId="0" fontId="2" fillId="9" borderId="11" xfId="0" applyNumberFormat="1" applyFont="1" applyFill="1" applyBorder="1" applyAlignment="1">
      <x:alignment vertical="top" wrapText="1"/>
    </x:xf>
    <x:xf numFmtId="0" fontId="2" fillId="9" borderId="1" xfId="0" applyNumberFormat="1" applyFont="1" applyFill="1" applyBorder="1" applyAlignment="1">
      <x:alignment vertical="top" wrapText="1"/>
    </x:xf>
    <x:xf numFmtId="0" fontId="2" fillId="9" borderId="12" xfId="0" applyNumberFormat="1" applyFont="1" applyFill="1" applyBorder="1" applyAlignment="1">
      <x:alignment vertical="top" wrapText="1"/>
    </x:xf>
    <x:xf numFmtId="0" fontId="0" fillId="10" borderId="0" xfId="0" applyNumberFormat="1" applyFont="1" applyFill="1" applyBorder="1"/>
    <x:xf numFmtId="0" fontId="2" fillId="10" borderId="0" xfId="0" applyNumberFormat="1" applyFont="1" applyFill="1" applyBorder="1"/>
    <x:xf numFmtId="0" fontId="2" fillId="10" borderId="13" xfId="0" applyNumberFormat="1" applyFont="1" applyFill="1" applyBorder="1"/>
    <x:xf numFmtId="0" fontId="2" fillId="10" borderId="14" xfId="0" applyNumberFormat="1" applyFont="1" applyFill="1" applyBorder="1"/>
    <x:xf numFmtId="0" fontId="2" fillId="10" borderId="15" xfId="0" applyNumberFormat="1" applyFont="1" applyFill="1" applyBorder="1"/>
    <x:xf numFmtId="0" fontId="2" fillId="10" borderId="16" xfId="0" applyNumberFormat="1" applyFont="1" applyFill="1" applyBorder="1"/>
    <x:xf numFmtId="0" fontId="2" fillId="10" xfId="0" applyNumberFormat="1" applyFont="1" applyFill="1" applyBorder="0"/>
    <x:xf numFmtId="0" fontId="2" fillId="10" borderId="17" xfId="0" applyNumberFormat="1" applyFont="1" applyFill="1" applyBorder="1"/>
    <x:xf numFmtId="0" fontId="2" fillId="10" borderId="18" xfId="0" applyNumberFormat="1" applyFont="1" applyFill="1" applyBorder="1"/>
    <x:xf numFmtId="0" fontId="2" fillId="10" borderId="19" xfId="0" applyNumberFormat="1" applyFont="1" applyFill="1" applyBorder="1"/>
    <x:xf numFmtId="0" fontId="2" fillId="10" borderId="20" xfId="0" applyNumberFormat="1" applyFont="1" applyFill="1" applyBorder="1"/>
    <x:xf numFmtId="0" fontId="2" fillId="10" borderId="13" xfId="0" applyNumberFormat="1" applyFont="1" applyFill="1" applyBorder="1" applyAlignment="1">
      <x:alignment wrapText="1"/>
    </x:xf>
    <x:xf numFmtId="0" fontId="2" fillId="10" borderId="14" xfId="0" applyNumberFormat="1" applyFont="1" applyFill="1" applyBorder="1" applyAlignment="1">
      <x:alignment wrapText="1"/>
    </x:xf>
    <x:xf numFmtId="0" fontId="2" fillId="10" borderId="15" xfId="0" applyNumberFormat="1" applyFont="1" applyFill="1" applyBorder="1" applyAlignment="1">
      <x:alignment wrapText="1"/>
    </x:xf>
    <x:xf numFmtId="0" fontId="2" fillId="10" borderId="16" xfId="0" applyNumberFormat="1" applyFont="1" applyFill="1" applyBorder="1" applyAlignment="1">
      <x:alignment wrapText="1"/>
    </x:xf>
    <x:xf numFmtId="0" fontId="2" fillId="10" xfId="0" applyNumberFormat="1" applyFont="1" applyFill="1" applyBorder="0" applyAlignment="1">
      <x:alignment wrapText="1"/>
    </x:xf>
    <x:xf numFmtId="0" fontId="2" fillId="10" borderId="17" xfId="0" applyNumberFormat="1" applyFont="1" applyFill="1" applyBorder="1" applyAlignment="1">
      <x:alignment wrapText="1"/>
    </x:xf>
    <x:xf numFmtId="0" fontId="2" fillId="10" borderId="18" xfId="0" applyNumberFormat="1" applyFont="1" applyFill="1" applyBorder="1" applyAlignment="1">
      <x:alignment wrapText="1"/>
    </x:xf>
    <x:xf numFmtId="0" fontId="2" fillId="10" borderId="19" xfId="0" applyNumberFormat="1" applyFont="1" applyFill="1" applyBorder="1" applyAlignment="1">
      <x:alignment wrapText="1"/>
    </x:xf>
    <x:xf numFmtId="0" fontId="2" fillId="10" borderId="20" xfId="0" applyNumberFormat="1" applyFont="1" applyFill="1" applyBorder="1" applyAlignment="1">
      <x:alignment wrapText="1"/>
    </x:xf>
    <x:xf numFmtId="0" fontId="2" fillId="10" borderId="13" xfId="0" applyNumberFormat="1" applyFont="1" applyFill="1" applyBorder="1" applyAlignment="1">
      <x:alignment horizontal="left" wrapText="1"/>
    </x:xf>
    <x:xf numFmtId="0" fontId="2" fillId="10" borderId="14" xfId="0" applyNumberFormat="1" applyFont="1" applyFill="1" applyBorder="1" applyAlignment="1">
      <x:alignment horizontal="left" wrapText="1"/>
    </x:xf>
    <x:xf numFmtId="0" fontId="2" fillId="10" borderId="15" xfId="0" applyNumberFormat="1" applyFont="1" applyFill="1" applyBorder="1" applyAlignment="1">
      <x:alignment horizontal="left" wrapText="1"/>
    </x:xf>
    <x:xf numFmtId="0" fontId="2" fillId="10" borderId="16" xfId="0" applyNumberFormat="1" applyFont="1" applyFill="1" applyBorder="1" applyAlignment="1">
      <x:alignment horizontal="left" wrapText="1"/>
    </x:xf>
    <x:xf numFmtId="0" fontId="2" fillId="10" xfId="0" applyNumberFormat="1" applyFont="1" applyFill="1" applyBorder="0" applyAlignment="1">
      <x:alignment horizontal="left" wrapText="1"/>
    </x:xf>
    <x:xf numFmtId="0" fontId="2" fillId="10" borderId="17" xfId="0" applyNumberFormat="1" applyFont="1" applyFill="1" applyBorder="1" applyAlignment="1">
      <x:alignment horizontal="left" wrapText="1"/>
    </x:xf>
    <x:xf numFmtId="0" fontId="2" fillId="10" borderId="18" xfId="0" applyNumberFormat="1" applyFont="1" applyFill="1" applyBorder="1" applyAlignment="1">
      <x:alignment horizontal="left" wrapText="1"/>
    </x:xf>
    <x:xf numFmtId="0" fontId="2" fillId="10" borderId="19" xfId="0" applyNumberFormat="1" applyFont="1" applyFill="1" applyBorder="1" applyAlignment="1">
      <x:alignment horizontal="left" wrapText="1"/>
    </x:xf>
    <x:xf numFmtId="0" fontId="2" fillId="10" borderId="20" xfId="0" applyNumberFormat="1" applyFont="1" applyFill="1" applyBorder="1" applyAlignment="1">
      <x:alignment horizontal="left" wrapText="1"/>
    </x:xf>
    <x:xf numFmtId="0" fontId="2" fillId="10" borderId="13" xfId="0" applyNumberFormat="1" applyFont="1" applyFill="1" applyBorder="1" applyAlignment="1">
      <x:alignment horizontal="left" vertical="top" wrapText="1"/>
    </x:xf>
    <x:xf numFmtId="0" fontId="2" fillId="10" borderId="14" xfId="0" applyNumberFormat="1" applyFont="1" applyFill="1" applyBorder="1" applyAlignment="1">
      <x:alignment horizontal="left" vertical="top" wrapText="1"/>
    </x:xf>
    <x:xf numFmtId="0" fontId="2" fillId="10" borderId="15" xfId="0" applyNumberFormat="1" applyFont="1" applyFill="1" applyBorder="1" applyAlignment="1">
      <x:alignment horizontal="left" vertical="top" wrapText="1"/>
    </x:xf>
    <x:xf numFmtId="0" fontId="2" fillId="10" borderId="16" xfId="0" applyNumberFormat="1" applyFont="1" applyFill="1" applyBorder="1" applyAlignment="1">
      <x:alignment horizontal="left" vertical="top" wrapText="1"/>
    </x:xf>
    <x:xf numFmtId="0" fontId="2" fillId="10" xfId="0" applyNumberFormat="1" applyFont="1" applyFill="1" applyBorder="0" applyAlignment="1">
      <x:alignment horizontal="left" vertical="top" wrapText="1"/>
    </x:xf>
    <x:xf numFmtId="0" fontId="2" fillId="10" borderId="17" xfId="0" applyNumberFormat="1" applyFont="1" applyFill="1" applyBorder="1" applyAlignment="1">
      <x:alignment horizontal="left" vertical="top" wrapText="1"/>
    </x:xf>
    <x:xf numFmtId="0" fontId="2" fillId="10" borderId="18" xfId="0" applyNumberFormat="1" applyFont="1" applyFill="1" applyBorder="1" applyAlignment="1">
      <x:alignment horizontal="left" vertical="top" wrapText="1"/>
    </x:xf>
    <x:xf numFmtId="0" fontId="2" fillId="10" borderId="19" xfId="0" applyNumberFormat="1" applyFont="1" applyFill="1" applyBorder="1" applyAlignment="1">
      <x:alignment horizontal="left" vertical="top" wrapText="1"/>
    </x:xf>
    <x:xf numFmtId="0" fontId="2" fillId="10" borderId="20" xfId="0" applyNumberFormat="1" applyFont="1" applyFill="1" applyBorder="1" applyAlignment="1">
      <x:alignment horizontal="left" vertical="top" wrapText="1"/>
    </x:xf>
  </x:cellXfs>
  <x:cellStyles count="2">
    <x:cellStyle name="Normal" xfId="1"/>
    <x:cellStyle name="標準" xfId="0"/>
  </x:cellStyles>
</x:styleSheet>
</file>

<file path=xl/_rels/workbook.xml.rels>&#65279;<?xml version="1.0" encoding="utf-8"?><Relationships xmlns="http://schemas.openxmlformats.org/package/2006/relationships"><Relationship Type="http://schemas.openxmlformats.org/officeDocument/2006/relationships/styles" Target="/xl/styles.xml" Id="Ra89d477835be4d7a" /><Relationship Type="http://schemas.openxmlformats.org/officeDocument/2006/relationships/theme" Target="/xl/theme/theme1.xml" Id="Ra71599e19c454ac5" /><Relationship Type="http://schemas.openxmlformats.org/officeDocument/2006/relationships/sharedStrings" Target="/xl/sharedStrings.xml" Id="R55be33100cf54d1c" /><Relationship Type="http://schemas.openxmlformats.org/officeDocument/2006/relationships/worksheet" Target="/xl/worksheets/sheet1.xml" Id="R2893bf26669f4394" /><Relationship Type="http://schemas.openxmlformats.org/officeDocument/2006/relationships/worksheet" Target="/xl/worksheets/sheet2.xml" Id="R1c13f97e005041f0" /><Relationship Type="http://schemas.openxmlformats.org/officeDocument/2006/relationships/worksheet" Target="/xl/worksheets/sheet3.xml" Id="R9339016750094ed4" /><Relationship Type="http://schemas.openxmlformats.org/officeDocument/2006/relationships/worksheet" Target="/xl/worksheets/sheet4.xml" Id="R9dab985721034eb4" /></Relationships>
</file>

<file path=xl/tables/table1.xml><?xml version="1.0" encoding="utf-8"?>
<x:table xmlns:x="http://schemas.openxmlformats.org/spreadsheetml/2006/main" id="1" name="Tier1Leads" displayName="Tier1Leads" ref="A1:X11" totalsRowShown="0">
  <x:tableColumns count="24">
    <x:tableColumn id="1" name="No."/>
    <x:tableColumn id="2" name="ティア"/>
    <x:tableColumn id="3" name="HP分類"/>
    <x:tableColumn id="4" name="院名"/>
    <x:tableColumn id="5" name="都道府県"/>
    <x:tableColumn id="6" name="市区町村"/>
    <x:tableColumn id="7" name="住所"/>
    <x:tableColumn id="8" name="開業・届出日"/>
    <x:tableColumn id="9" name="経過月数"/>
    <x:tableColumn id="10" name="判定確度"/>
    <x:tableColumn id="11" name="Web状況"/>
    <x:tableColumn id="12" name="連絡方法"/>
    <x:tableColumn id="13" name="メールアドレス"/>
    <x:tableColumn id="14" name="確認した特徴"/>
    <x:tableColumn id="15" name="提案内容"/>
    <x:tableColumn id="16" name="初回メール件名・本文"/>
    <x:tableColumn id="17" name="追客メール本文"/>
    <x:tableColumn id="18" name="初回送信日"/>
    <x:tableColumn id="19" name="追客予定日"/>
    <x:tableColumn id="20" name="送信回数"/>
    <x:tableColumn id="21" name="返信状況"/>
    <x:tableColumn id="22" name="送信禁止"/>
    <x:tableColumn id="23" name="判定理由・注意"/>
    <x:tableColumn id="24" name="根拠URL"/>
  </x:tableColumns>
  <x:tableStyleInfo name="TableStyleMedium2" showFirstColumn="0" showLastColumn="0" showRowStripes="1" showColumnStripes="0"/>
</x:table>
</file>

<file path=xl/tables/table2.xml><?xml version="1.0" encoding="utf-8"?>
<x:table xmlns:x="http://schemas.openxmlformats.org/spreadsheetml/2006/main" id="2" name="SourceEvidence" displayName="SourceEvidence" ref="A1:G11" totalsRowShown="0">
  <x:tableColumns count="7">
    <x:tableColumn id="1" name="No."/>
    <x:tableColumn id="2" name="院名"/>
    <x:tableColumn id="3" name="開業・届出日"/>
    <x:tableColumn id="4" name="根拠区分"/>
    <x:tableColumn id="5" name="根拠URL"/>
    <x:tableColumn id="6" name="HP判定"/>
    <x:tableColumn id="7" name="送信前確認"/>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225c64b7313403f" /></Relationships>
</file>

<file path=xl/worksheets/_rels/sheet3.xml.rels>&#65279;<?xml version="1.0" encoding="utf-8"?><Relationships xmlns="http://schemas.openxmlformats.org/package/2006/relationships"><Relationship Type="http://schemas.openxmlformats.org/officeDocument/2006/relationships/table" Target="/xl/tables/table2.xml" Id="R81445ab5d16f4342"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2" width="7" customWidth="1"/>
    <x:col min="3" max="3" width="9" customWidth="1"/>
    <x:col min="4" max="4" width="27" customWidth="1"/>
    <x:col min="5" max="5" width="11" customWidth="1"/>
    <x:col min="6" max="6" width="15" customWidth="1"/>
    <x:col min="7" max="7" width="28" customWidth="1"/>
    <x:col min="8" max="8" width="13" customWidth="1"/>
    <x:col min="9" max="9" width="10" customWidth="1"/>
    <x:col min="10" max="10" width="17" customWidth="1"/>
    <x:col min="11" max="11" width="30" customWidth="1"/>
    <x:col min="12" max="12" width="24" customWidth="1"/>
    <x:col min="13" max="13" width="26" customWidth="1"/>
    <x:col min="14" max="14" width="45" customWidth="1"/>
    <x:col min="15" max="15" width="48" customWidth="1"/>
    <x:col min="16" max="16" width="42" hidden="0" customWidth="1"/>
    <x:col min="17" max="17" width="32" hidden="0" customWidth="1"/>
    <x:col min="18" max="19" width="13" customWidth="1"/>
    <x:col min="20" max="20" width="10" customWidth="1"/>
    <x:col min="21" max="21" width="13" customWidth="1"/>
    <x:col min="22" max="22" width="11" customWidth="1"/>
    <x:col min="23" max="23" width="38" customWidth="1"/>
    <x:col min="24" max="24" width="52" customWidth="1"/>
  </x:cols>
  <x:sheetData>
    <x:row r="1" ht="42"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27" t="str">
        <x:v>初回メール（「メール全文」シートで右側表示）</x:v>
      </x:c>
      <x:c r="Q1" s="1" t="s">
        <x:v>15</x:v>
      </x:c>
      <x:c r="R1" s="1" t="s">
        <x:v>16</x:v>
      </x:c>
      <x:c r="S1" s="1" t="s">
        <x:v>17</x:v>
      </x:c>
      <x:c r="T1" s="1" t="s">
        <x:v>18</x:v>
      </x:c>
      <x:c r="U1" s="1" t="s">
        <x:v>19</x:v>
      </x:c>
      <x:c r="V1" s="1" t="s">
        <x:v>20</x:v>
      </x:c>
      <x:c r="W1" s="1" t="s">
        <x:v>21</x:v>
      </x:c>
      <x:c r="X1" s="1" t="s">
        <x:v>22</x:v>
      </x:c>
    </x:row>
    <x:row r="2" ht="42" hidden="0" customHeight="1">
      <x:c r="A2" s="10">
        <x:v>1</x:v>
      </x:c>
      <x:c r="B2" s="8">
        <x:v>1</x:v>
      </x:c>
      <x:c r="C2" s="8" t="s">
        <x:v>23</x:v>
      </x:c>
      <x:c r="D2" s="2" t="s">
        <x:v>24</x:v>
      </x:c>
      <x:c r="E2" s="2" t="s">
        <x:v>25</x:v>
      </x:c>
      <x:c r="F2" s="2" t="s">
        <x:v>26</x:v>
      </x:c>
      <x:c r="G2" s="2" t="s">
        <x:v>27</x:v>
      </x:c>
      <x:c r="H2" s="12">
        <x:v>46146</x:v>
      </x:c>
      <x:c r="I2" s="10" t="n">
        <x:f t="shared" ref="I2:I11" si="0">IF(H2="","",DATEDIF(H2,DATE(2026,7,3),"m"))</x:f>
        <x:v>1</x:v>
      </x:c>
      <x:c r="J2" s="13" t="s">
        <x:v>28</x:v>
      </x:c>
      <x:c r="K2" s="2" t="str">
        <x:v>独自HP未確認（Instagram・LINE中心）</x:v>
      </x:c>
      <x:c r="L2" s="2" t="str">
        <x:v>公式InstagramまたはLINE（送信可否を確認）</x:v>
      </x:c>
      <x:c r="M2" s="2" t="s">
        <x:v>29</x:v>
      </x:c>
      <x:c r="N2" s="4" t="str">
        <x:v>2026年5月4日開院。10時〜22時、水・日休診。施術に加え、アスリート向けパーソナルトレーニングを案内。予約はInstagram・LINE中心。</x:v>
      </x:c>
      <x:c r="O2" s="4" t="str">
        <x:v>スポーツ外傷・一般施術・トレーニングを分けて伝える公式サイト、競技別ページ、GoogleマップからLINE予約へつなぐ導線を設計。</x:v>
      </x:c>
      <x:c r="P2" s="25" t="str">
        <x:v>件名：【SAIKI整骨院様】施術とトレーニングの魅力をさらに伝えるWeb導線について
SAIKI整骨院
ご担当者様
突然のご連絡失礼いたします。
整骨院・接骨院・鍼灸院専門のWeb制作・集客支援を行っております、WEBBRIOの柴藤と申します。
公開情報を拝見しました。10時から22時まで対応され、一般的な施術だけでなく、アスリート向けパーソナルトレーニングまで一つの院で受けられる点は、他院との違いが非常に分かりやすい強みだと感じました。InstagramとLINEを案内・予約窓口にされているため、スマートフォンで院を探す方がそのまま相談しやすい体制も既に作られています。
大変失礼ながら、初めて院を知った方にとっては、施術とトレーニングの違い、どのような競技や悩みに対応できるのかを一覧で確認できる場所があると、この魅力がさらに伝わりやすくなると感じました。
私であれば、たとえば次のようなことまで一貫して対応できます。
・施術・スポーツ外傷・トレーニングを分かりやすく整理した公式サイト
・競技や悩み別のページと香里園周辺の検索対策
・GoogleマップやInstagramからLINE予約へ自然につなぐ導線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2" s="25" t="s">
        <x:v>30</x:v>
      </x:c>
      <x:c r="R2" s="3"/>
      <x:c r="S2" s="3" t="str">
        <x:f t="shared" ref="S2:S11" si="1">IF(R2="","",R2+7)</x:f>
      </x:c>
      <x:c r="T2" s="10">
        <x:v>0</x:v>
      </x:c>
      <x:c r="U2" s="10" t="s">
        <x:v>31</x:v>
      </x:c>
      <x:c r="V2" s="10" t="s">
        <x:v>32</x:v>
      </x:c>
      <x:c r="W2" s="4" t="str">
        <x:v>2026-07-15再調査。独自HPは確認できず。Instagram・LINEの営業利用可否を送信直前に確認。</x:v>
      </x:c>
      <x:c r="X2" s="4" t="str">
        <x:v>https://www.neyagawa-np.jp/open-close/saiki-20260507.html
https://www.hira2.jp/open-close/saikisports-20260427.html</x:v>
      </x:c>
    </x:row>
    <x:row r="3" ht="42" hidden="0" customHeight="1">
      <x:c r="A3" s="10">
        <x:v>2</x:v>
      </x:c>
      <x:c r="B3" s="8">
        <x:v>1</x:v>
      </x:c>
      <x:c r="C3" s="8" t="s">
        <x:v>23</x:v>
      </x:c>
      <x:c r="D3" s="2" t="s">
        <x:v>33</x:v>
      </x:c>
      <x:c r="E3" s="2" t="s">
        <x:v>25</x:v>
      </x:c>
      <x:c r="F3" s="2" t="s">
        <x:v>34</x:v>
      </x:c>
      <x:c r="G3" s="2" t="s">
        <x:v>35</x:v>
      </x:c>
      <x:c r="H3" s="12"/>
      <x:c r="I3" s="10" t="str">
        <x:f t="shared" si="0"/>
      </x:c>
      <x:c r="J3" s="13" t="s">
        <x:v>36</x:v>
      </x:c>
      <x:c r="K3" s="2" t="str">
        <x:v>独自HP未確認（エキテン・予約アプリ中心）</x:v>
      </x:c>
      <x:c r="L3" s="2" t="str">
        <x:v>公開された適切な連絡窓口を要確認</x:v>
      </x:c>
      <x:c r="M3" s="2" t="s">
        <x:v>29</x:v>
      </x:c>
      <x:c r="N3" s="4" t="str">
        <x:v>2026年1月オープン表記。谷町六丁目駅徒歩約5分、予約優先。女性スタッフ在籍、日祝午前も受付。保険施術に加えて全身ほぐし・筋膜リリース等を案内。</x:v>
      </x:c>
      <x:c r="O3" s="4" t="str">
        <x:v>保険施術と自費メニューを分かりやすく整理し、駅名検索・日祝診療・女性スタッフ・ネット予約の強みを一つの公式サイトに統合。</x:v>
      </x:c>
      <x:c r="P3" s="25" t="str">
        <x:v>件名：【谷六からほり整骨院様】現在の予約体制と施術の幅をさらに伝えるご提案
谷六からほり整骨院
ご担当者様
突然のご連絡失礼いたします。
整骨院・接骨院・鍼灸院専門のWeb制作・集客支援を行っております、WEBBRIOの柴藤と申します。
公開情報を拝見しました。谷町六丁目駅から徒歩圏内で、予約優先制、日曜・祝日も午前受付、女性スタッフ在籍という体制は、仕事や家庭の都合に合わせて通いたい方にとって大きな安心材料だと感じました。保険施術だけでなく、全身ほぐし、筋膜リリース、ポールストレッチなども用意され、ネットやアプリから予約できる点も利用者目線でよく整えられています。
大変失礼ながら、現在は院の魅力が施設ページと予約サービスに分かれているため、初めての方が『自分は保険施術と自費メニューのどちらが合うのか』を判断しにくい場面もあるかと思いました。
私であれば、たとえば次のようなことまで一貫して対応できます。
・保険施術と自費メニューの違い、料金、初回の流れを整理した公式ページ
・日祝受付や女性スタッフ在籍を地域検索で見つけてもらう設計
・既存のネット予約を活かした、迷いの少ないスマホ予約導線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3" s="25" t="s">
        <x:v>37</x:v>
      </x:c>
      <x:c r="R3" s="3"/>
      <x:c r="S3" s="3" t="str">
        <x:f t="shared" si="1"/>
      </x:c>
      <x:c r="T3" s="10">
        <x:v>0</x:v>
      </x:c>
      <x:c r="U3" s="10" t="s">
        <x:v>31</x:v>
      </x:c>
      <x:c r="V3" s="10" t="s">
        <x:v>32</x:v>
      </x:c>
      <x:c r="W3" s="4" t="str">
        <x:v>2026-07-15再調査。開業日の確定と公開連絡先の営業利用可否を確認してから送信。</x:v>
      </x:c>
      <x:c r="X3" s="4" t="str">
        <x:v>https://www.ekiten.jp/shop_70252717/
https://online.peakmanager.com/w7d4k9</x:v>
      </x:c>
    </x:row>
    <x:row r="4" ht="42" hidden="0" customHeight="1">
      <x:c r="A4" s="10">
        <x:v>3</x:v>
      </x:c>
      <x:c r="B4" s="8">
        <x:v>1</x:v>
      </x:c>
      <x:c r="C4" s="8" t="s">
        <x:v>23</x:v>
      </x:c>
      <x:c r="D4" s="2" t="s">
        <x:v>38</x:v>
      </x:c>
      <x:c r="E4" s="2" t="s">
        <x:v>25</x:v>
      </x:c>
      <x:c r="F4" s="2" t="s">
        <x:v>26</x:v>
      </x:c>
      <x:c r="G4" s="2" t="s">
        <x:v>39</x:v>
      </x:c>
      <x:c r="H4" s="12">
        <x:v>46174</x:v>
      </x:c>
      <x:c r="I4" s="10">
        <x:f t="shared" si="0"/>
        <x:v>1</x:v>
      </x:c>
      <x:c r="J4" s="13" t="s">
        <x:v>28</x:v>
      </x:c>
      <x:c r="K4" s="2" t="str">
        <x:v>公式HPあり（電話・LINE予約対応）</x:v>
      </x:c>
      <x:c r="L4" s="2" t="str">
        <x:v>公式サイトの問い合わせ方針を確認</x:v>
      </x:c>
      <x:c r="M4" s="2" t="s">
        <x:v>29</x:v>
      </x:c>
      <x:c r="N4" s="4" t="str">
        <x:v>香里園駅徒歩3分。腰痛・スポーツ外傷を強みとして案内。院長はサッカー、副院長は野球経験があり、電話・LINE予約、症状・スタッフ・FAQページを整備済み。</x:v>
      </x:c>
      <x:c r="O4" s="4" t="str">
        <x:v>新規制作ではなく、症状別SEO、Googleマップ、LINE予約の計測、スポーツ実績・症例コンテンツの強化を提案。</x:v>
      </x:c>
      <x:c r="P4" s="25" t="str">
        <x:v>件名：【香里園たいじゅ整骨院様】スポーツ外傷の強みをさらに予約へつなげるご提案
香里園たいじゅ整骨院
ご担当者様
突然のご連絡失礼いたします。
整骨院・接骨院・鍼灸院専門のWeb制作・集客支援を行っております、WEBBRIOの柴藤と申します。
公式サイトを拝見しました。腰痛・スポーツ外傷に強みを絞り、サッカー経験のある院長先生と野球経験のある副院長先生が、それぞれの経験や施術への想いを言葉にされている点がとても印象的でした。症状、スタッフ紹介、よくある質問、電話・LINE予約まで既に丁寧に整備されており、初めての患者様が安心して相談できる集客・予約体制ができていると感じました。
大変失礼ながら、現在の良いサイトをさらに活かすなら、競技別・ケガ別の情報を増やし、どのページや検索から予約につながったかを把握できる状態にすると、院の専門性がより伝わる余地があると感じました。
私であれば、たとえば次のようなことまで一貫して対応できます。
・サッカー・野球など競技別、捻挫・肉離れなど症状別ページの追加
・Googleマップ、公式サイト、LINE予約の表記と導線の統一
・アクセス解析による、相談・予約につながるページの見える化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4" s="25" t="s">
        <x:v>40</x:v>
      </x:c>
      <x:c r="R4" s="3"/>
      <x:c r="S4" s="3" t="str">
        <x:f t="shared" si="1"/>
      </x:c>
      <x:c r="T4" s="10">
        <x:v>0</x:v>
      </x:c>
      <x:c r="U4" s="10" t="s">
        <x:v>31</x:v>
      </x:c>
      <x:c r="V4" s="10" t="s">
        <x:v>32</x:v>
      </x:c>
      <x:c r="W4" s="4" t="str">
        <x:v>2026-07-15再調査で公式HPを確認。新規HP制作ではなく改善提案。営業連絡可否を事前確認。</x:v>
      </x:c>
      <x:c r="X4" s="4" t="str">
        <x:v>https://korien-seikotsu.com/
https://neyagawa.goguynet.jp/2026/06/08/taiju_seikotsu/</x:v>
      </x:c>
    </x:row>
    <x:row r="5" ht="42" hidden="0" customHeight="1">
      <x:c r="A5" s="10">
        <x:v>4</x:v>
      </x:c>
      <x:c r="B5" s="8">
        <x:v>1</x:v>
      </x:c>
      <x:c r="C5" s="8" t="s">
        <x:v>23</x:v>
      </x:c>
      <x:c r="D5" s="2" t="s">
        <x:v>41</x:v>
      </x:c>
      <x:c r="E5" s="2" t="s">
        <x:v>42</x:v>
      </x:c>
      <x:c r="F5" s="2" t="s">
        <x:v>43</x:v>
      </x:c>
      <x:c r="G5" s="2" t="s">
        <x:v>44</x:v>
      </x:c>
      <x:c r="H5" s="12">
        <x:v>46181</x:v>
      </x:c>
      <x:c r="I5" s="10">
        <x:f t="shared" si="0"/>
        <x:v>0</x:v>
      </x:c>
      <x:c r="J5" s="13" t="s">
        <x:v>45</x:v>
      </x:c>
      <x:c r="K5" s="2" t="str">
        <x:v>グループ公式HPあり・西明石院の独立情報は限定的</x:v>
      </x:c>
      <x:c r="L5" s="2" t="str">
        <x:v>グループ本部または公式窓口を確認</x:v>
      </x:c>
      <x:c r="M5" s="2" t="s">
        <x:v>29</x:v>
      </x:c>
      <x:c r="N5" s="4" t="str">
        <x:v>2026年6月8日開院。JR西明石駅前、平日9時〜20時、土祝8時〜17時、日曜休診。大阪・明石で複数院を展開し、肩腰膝、スポーツ障害、産後骨盤矯正等を案内。</x:v>
      </x:c>
      <x:c r="O5" s="4" t="str">
        <x:v>グループの信頼感を保ちながら、西明石院固有のスタッフ・施術・料金・アクセス・予約情報を検索できる店舗ページとGoogleマップ導線を整備。</x:v>
      </x:c>
      <x:c r="P5" s="25" t="str">
        <x:v>件名：【with.鍼灸整骨院 西明石院様】グループの強みを新院の集客へつなげるご提案
with.鍼灸整骨院 西明石院
ご担当者様
突然のご連絡失礼いたします。
整骨院・接骨院・鍼灸院専門のWeb制作・集客支援を行っております、WEBBRIOの柴藤と申します。
グループ公式サイトと西明石院の開院情報を拝見しました。大阪・明石で複数院を運営され、肩・腰・膝の日常的な不調からスポーツ障害、産後の骨盤矯正まで幅広く対応されている点は、グループとして積み重ねてこられた信頼の表れだと感じました。JR西明石駅前で、平日20時まで、土曜・祝日も受付される体制も、地域の方が継続して通いやすい大きな強みです。
大変失礼ながら、検索上ではグループ全体の魅力に比べて、西明石院固有のスタッフ、院内、料金、予約先といった情報がまだ見つけにくく、新院の良さが十分に伝わりきっていない可能性があると感じました。
私であれば、たとえば次のようなことまで一貫して対応できます。
・西明石院のスタッフ・施術・料金・院内写真をまとめた専用ページ
・『西明石駅 整骨院』など地域検索を意識したGoogleマップ整備
・グループサイトから西明石院の予約先へ直接進めるスマホ導線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5" s="25" t="s">
        <x:v>46</x:v>
      </x:c>
      <x:c r="R5" s="3"/>
      <x:c r="S5" s="3" t="str">
        <x:f t="shared" si="1"/>
      </x:c>
      <x:c r="T5" s="10">
        <x:v>0</x:v>
      </x:c>
      <x:c r="U5" s="10" t="s">
        <x:v>31</x:v>
      </x:c>
      <x:c r="V5" s="10" t="s">
        <x:v>32</x:v>
      </x:c>
      <x:c r="W5" s="4" t="str">
        <x:v>2026-07-15再調査。グループ公式HPあり。西明石院ページの有無と本部の営業受付方針を確認。</x:v>
      </x:c>
      <x:c r="X5" s="4" t="str">
        <x:v>https://with-seikotsuin.com/
https://akashi-journal.com/openclose/with-seikotsuin-nishiakashi/</x:v>
      </x:c>
    </x:row>
    <x:row r="6" ht="42" hidden="0" customHeight="1">
      <x:c r="A6" s="10">
        <x:v>5</x:v>
      </x:c>
      <x:c r="B6" s="8">
        <x:v>1</x:v>
      </x:c>
      <x:c r="C6" s="8" t="s">
        <x:v>23</x:v>
      </x:c>
      <x:c r="D6" s="2" t="s">
        <x:v>47</x:v>
      </x:c>
      <x:c r="E6" s="2" t="s">
        <x:v>48</x:v>
      </x:c>
      <x:c r="F6" s="2" t="s">
        <x:v>49</x:v>
      </x:c>
      <x:c r="G6" s="2" t="s">
        <x:v>50</x:v>
      </x:c>
      <x:c r="H6" s="12">
        <x:v>46113</x:v>
      </x:c>
      <x:c r="I6" s="10">
        <x:f t="shared" si="0"/>
        <x:v>3</x:v>
      </x:c>
      <x:c r="J6" s="13" t="s">
        <x:v>45</x:v>
      </x:c>
      <x:c r="K6" s="2" t="str">
        <x:v>自治体・電話帳掲載のみ確認、独自HP未確認</x:v>
      </x:c>
      <x:c r="L6" s="2" t="str">
        <x:v>公開された適切な連絡窓口を要確認</x:v>
      </x:c>
      <x:c r="M6" s="2" t="s">
        <x:v>29</x:v>
      </x:c>
      <x:c r="N6" s="4" t="str">
        <x:v>広島市の公表資料で2026年4月1日に伴東で鍼灸・柔道整復の開設届を確認。施設情報は自治体資料と電話帳掲載が中心。</x:v>
      </x:c>
      <x:c r="O6" s="4" t="str">
        <x:v>院の方針、鍼灸と接骨の対象、料金、初回案内、予約方法をまとめる小規模公式サイトとGoogleビジネスプロフィールを初期整備。</x:v>
      </x:c>
      <x:c r="P6" s="25" t="str">
        <x:v>件名：【がいし鍼灸院・接骨院様】院の魅力と来院案内を伝えるWeb整備について
がいし鍼灸院・接骨院
ご担当者様
突然のご連絡失礼いたします。
整骨院・接骨院・鍼灸院専門のWeb制作・集客支援を行っております、WEBBRIOの柴藤と申します。
広島市の公開情報を拝見しました。伴東で鍼灸と接骨の両方に対応されているため、急な痛みから慢性的な不調まで、一つの院で相談できる体制を作られている点は地域の方にとって心強い強みだと感じました。開院直後から複数の選択肢を持って患者様に向き合えること自体が、院の大きな価値だと思います。
大変失礼ながら、現時点の公開検索では、先生のお考え、施術内容、受付時間、料金、予約方法などをまとめて確認できる情報が少なく、せっかくの強みが初めての方に届きにくい状態に見えました。
私であれば、たとえば次のようなことまで一貫して対応できます。
・先生の考え、鍼灸と接骨の使い分け、初回の流れを伝える基本サイト
・営業時間・料金・予約方法・駐車場など来院前情報の整理
・Googleマップと公式サイトを連携した伴東周辺の検索対策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6" s="25" t="s">
        <x:v>51</x:v>
      </x:c>
      <x:c r="R6" s="3"/>
      <x:c r="S6" s="3" t="str">
        <x:f t="shared" si="1"/>
      </x:c>
      <x:c r="T6" s="10">
        <x:v>0</x:v>
      </x:c>
      <x:c r="U6" s="10" t="s">
        <x:v>31</x:v>
      </x:c>
      <x:c r="V6" s="10" t="s">
        <x:v>32</x:v>
      </x:c>
      <x:c r="W6" s="4" t="str">
        <x:v>2026-07-15再調査。公開情報が限定的。営業利用可能な連絡先と実際の開院状況を確認後に送信。</x:v>
      </x:c>
      <x:c r="X6" s="4" t="str">
        <x:v>https://www.city.hiroshima.lg.jp/_res/projects/default_project/_page_/001/020/223/r804.pdf
https://itp.ne.jp/zenkoku/hiroshima/hiroshimashi-asaminamiku/tomohigashi/iryo-kaigo/herusukea/sekkotsu-judoseifuku/sekkotsujuudouseifuku/520000445044520001</x:v>
      </x:c>
    </x:row>
    <x:row r="7" ht="42" hidden="0" customHeight="1">
      <x:c r="A7" s="10">
        <x:v>6</x:v>
      </x:c>
      <x:c r="B7" s="8">
        <x:v>1</x:v>
      </x:c>
      <x:c r="C7" s="8" t="s">
        <x:v>23</x:v>
      </x:c>
      <x:c r="D7" s="2" t="s">
        <x:v>52</x:v>
      </x:c>
      <x:c r="E7" s="2" t="s">
        <x:v>48</x:v>
      </x:c>
      <x:c r="F7" s="2" t="s">
        <x:v>49</x:v>
      </x:c>
      <x:c r="G7" s="2" t="s">
        <x:v>53</x:v>
      </x:c>
      <x:c r="H7" s="12">
        <x:v>46113</x:v>
      </x:c>
      <x:c r="I7" s="10">
        <x:f t="shared" si="0"/>
        <x:v>3</x:v>
      </x:c>
      <x:c r="J7" s="13" t="s">
        <x:v>45</x:v>
      </x:c>
      <x:c r="K7" s="2" t="str">
        <x:v>既存院の移転可能性あり・独自HP未確認</x:v>
      </x:c>
      <x:c r="L7" s="2" t="str">
        <x:v>既存公開番号あり（営業電話は避け、適切な窓口を確認）</x:v>
      </x:c>
      <x:c r="M7" s="2" t="s">
        <x:v>29</x:v>
      </x:c>
      <x:c r="N7" s="4" t="str">
        <x:v>2019年以前から上安2-4-43での掲載と電話番号があり、2026年4月1日に上安2-16-18-101で開設届。新規開業ではなく移転・住所変更の可能性が高い。</x:v>
      </x:c>
      <x:c r="O7" s="4" t="str">
        <x:v>旧住所と新住所の混在解消、Googleマップ・各ポータルのNAP統一、移転案内、施術内容・予約窓口をまとめる公式ページを提案。</x:v>
      </x:c>
      <x:c r="P7" s="25" t="str">
        <x:v>件名：【ひさもり鍼灸・整骨院様】移転後の情報整理と集客導線について
ひさもり鍼灸・整骨院
ご担当者様
突然のご連絡失礼いたします。
整骨院・接骨院・鍼灸院専門のWeb制作・集客支援を行っております、WEBBRIOの柴藤と申します。
公開情報を拝見しました。以前から上安で鍼灸・整骨の両方を提供され、地域で継続して患者様に向き合ってこられた院であることが分かりました。鍼灸と柔道整復を組み合わせて相談できる体制と、同じ上安エリアで診療を続けられている点は、既存の患者様にとっても安心感につながる強みだと感じました。
大変失礼ながら、検索結果には以前の住所と新しい開設届の住所が混在しているため、初めての方や久しぶりに来院される方が場所を迷う可能性があります。院の問題ではなく、Web上の情報更新が追い付いていない状態だと思います。
私であれば、たとえば次のようなことまで一貫して対応できます。
・Googleマップ・電話帳・各掲載サイトの院名、住所、電話番号の統一
・旧住所から新住所への移転案内と検索結果の整理
・施術内容・受付時間・予約方法を一か所で確認できる公式ページ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7" s="25" t="s">
        <x:v>54</x:v>
      </x:c>
      <x:c r="R7" s="3"/>
      <x:c r="S7" s="3" t="str">
        <x:f t="shared" si="1"/>
      </x:c>
      <x:c r="T7" s="10">
        <x:v>0</x:v>
      </x:c>
      <x:c r="U7" s="10" t="s">
        <x:v>31</x:v>
      </x:c>
      <x:c r="V7" s="10" t="s">
        <x:v>32</x:v>
      </x:c>
      <x:c r="W7" s="4" t="str">
        <x:v>2026-07-15再調査。移転の可能性が高い。公開番号への営業電話は避け、適切な連絡窓口を確認。</x:v>
      </x:c>
      <x:c r="X7" s="4" t="str">
        <x:v>https://www.city.hiroshima.lg.jp/_res/projects/default_project/_page_/001/020/223/r804.pdf
https://www.mapion.co.jp/phonebook/M09010/34105/23430488673/
https://kouseikyoku.mhlw.go.jp/chugokushikoku/000419939.pdf</x:v>
      </x:c>
    </x:row>
    <x:row r="8" ht="42" hidden="0" customHeight="1">
      <x:c r="A8" s="10">
        <x:v>7</x:v>
      </x:c>
      <x:c r="B8" s="8">
        <x:v>1</x:v>
      </x:c>
      <x:c r="C8" s="8" t="s">
        <x:v>23</x:v>
      </x:c>
      <x:c r="D8" s="2" t="s">
        <x:v>55</x:v>
      </x:c>
      <x:c r="E8" s="2" t="s">
        <x:v>48</x:v>
      </x:c>
      <x:c r="F8" s="2" t="s">
        <x:v>56</x:v>
      </x:c>
      <x:c r="G8" s="2" t="s">
        <x:v>57</x:v>
      </x:c>
      <x:c r="H8" s="12">
        <x:v>46139</x:v>
      </x:c>
      <x:c r="I8" s="10">
        <x:f t="shared" si="0"/>
        <x:v>2</x:v>
      </x:c>
      <x:c r="J8" s="13" t="s">
        <x:v>45</x:v>
      </x:c>
      <x:c r="K8" s="2" t="str">
        <x:v>公式HPあり（電話予約・情報発信あり）</x:v>
      </x:c>
      <x:c r="L8" s="2" t="str">
        <x:v>公式サイトの営業連絡方針を確認</x:v>
      </x:c>
      <x:c r="M8" s="2" t="s">
        <x:v>29</x:v>
      </x:c>
      <x:c r="N8" s="4" t="str">
        <x:v>牛田本町で接骨・鍼灸に対応。保険・保険外施術、物療、美容や幅広い悩みを案内。電話予約、駐車場1台、コラム更新、施術の流れを掲載済み。</x:v>
      </x:c>
      <x:c r="O8" s="4" t="str">
        <x:v>新規制作ではなく、症状別ページの検索設計、予約導線の整理、コラムの地域SEO活用、Googleマップ・計測環境の改善を提案。</x:v>
      </x:c>
      <x:c r="P8" s="25" t="str">
        <x:v>件名：【なぎさ接骨院・鍼灸院様】丁寧な情報発信をさらに予約へつなげるご提案
なぎさ接骨院・鍼灸院
ご担当者様
突然のご連絡失礼いたします。
整骨院・接骨院・鍼灸院専門のWeb制作・集客支援を行っております、WEBBRIOの柴藤と申します。
公式サイトを拝見しました。保険・保険外施術、物療、鍼灸、美容や幅広いお悩みに対応され、施術の流れや駐車場、受付時間まで丁寧に案内されているため、初めての患者様にも安心感が伝わるサイトだと感じました。さらに、健康や症例に関するコラムを継続して更新されている点は、患者様に向き合う姿勢と専門性の両方が伝わる、とても良い取り組みだと思います。
大変失礼ながら、情報量が豊富だからこそ、接骨・鍼灸・美容のどこから見ればよいかをさらに整理し、コラムを症状別の入口として活用すると、現在の発信がより相談や予約につながりやすくなると感じました。
私であれば、たとえば次のようなことまで一貫して対応できます。
・既存コラムを症状別ページへ整理し、牛田周辺の検索流入を増やす設計
・接骨・鍼灸・美容の入口を分けた分かりやすい予約導線
・Googleマップとサイトのアクセス解析による問い合わせ経路の可視化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8" s="25" t="s">
        <x:v>58</x:v>
      </x:c>
      <x:c r="R8" s="3"/>
      <x:c r="S8" s="3" t="str">
        <x:f t="shared" si="1"/>
      </x:c>
      <x:c r="T8" s="10">
        <x:v>0</x:v>
      </x:c>
      <x:c r="U8" s="10" t="s">
        <x:v>31</x:v>
      </x:c>
      <x:c r="V8" s="10" t="s">
        <x:v>32</x:v>
      </x:c>
      <x:c r="W8" s="4" t="str">
        <x:v>2026-07-15再調査で公式HPを確認。新規HP制作ではなく改善提案。営業連絡可否を事前確認。</x:v>
      </x:c>
      <x:c r="X8" s="4" t="str">
        <x:v>https://nagisasekkotsuin.jp/
https://www.city.hiroshima.lg.jp/_res/projects/default_project/_page_/001/020/223/r804.pdf</x:v>
      </x:c>
    </x:row>
    <x:row r="9" ht="42" hidden="0" customHeight="1">
      <x:c r="A9" s="10">
        <x:v>8</x:v>
      </x:c>
      <x:c r="B9" s="8">
        <x:v>1</x:v>
      </x:c>
      <x:c r="C9" s="8" t="s">
        <x:v>23</x:v>
      </x:c>
      <x:c r="D9" s="2" t="s">
        <x:v>59</x:v>
      </x:c>
      <x:c r="E9" s="2" t="s">
        <x:v>48</x:v>
      </x:c>
      <x:c r="F9" s="2" t="s">
        <x:v>49</x:v>
      </x:c>
      <x:c r="G9" s="2" t="s">
        <x:v>60</x:v>
      </x:c>
      <x:c r="H9" s="12">
        <x:v>46078</x:v>
      </x:c>
      <x:c r="I9" s="10">
        <x:f t="shared" si="0"/>
        <x:v>4</x:v>
      </x:c>
      <x:c r="J9" s="13" t="s">
        <x:v>45</x:v>
      </x:c>
      <x:c r="K9" s="2" t="str">
        <x:v>自治体資料以外の独自情報・公式HPを確認できず</x:v>
      </x:c>
      <x:c r="L9" s="2" t="str">
        <x:v>公開された適切な連絡窓口を要確認</x:v>
      </x:c>
      <x:c r="M9" s="2" t="s">
        <x:v>29</x:v>
      </x:c>
      <x:c r="N9" s="4" t="str">
        <x:v>広島市の公表資料で2026年2月25日に毘沙門台で柔道整復の開設届を確認。院の施術内容・受付時間・料金・予約方法を示す公式情報は未確認。</x:v>
      </x:c>
      <x:c r="O9" s="4" t="str">
        <x:v>柔道整復の対象、院長紹介、初回案内、受付時間、アクセスを掲載する基本サイトとGoogleマップを整備し、毘沙門台周辺の検索に対応。</x:v>
      </x:c>
      <x:c r="P9" s="25" t="str">
        <x:v>件名：【みやび整骨院様】地域の方へ院の魅力を伝えるWeb整備のご提案
みやび整骨院
ご担当者様
突然のご連絡失礼いたします。
整骨院・接骨院・鍼灸院専門のWeb制作・集客支援を行っております、WEBBRIOの柴藤と申します。
広島市の公開情報を拝見しました。毘沙門台で新たに整骨院を開設され、地域の方が身近な場所で身体の悩みを相談できる環境を作られたことは、地域にとって大変心強いことだと感じました。開院されたばかりの時期だからこそ、先生の考えや院の雰囲気をこれから形にしていける点も大きな強みだと思います。
大変失礼ながら、現時点の公開検索では、対応できる症状、先生の紹介、受付時間、料金、予約方法などがほとんど確認できず、近隣の方が院を見つけても来院を判断しにくい状態に見えました。
私であれば、たとえば次のようなことまで一貫して対応できます。
・対応症状、先生の紹介、料金、初回の流れをまとめた基本サイト
・毘沙門台周辺で院を探す方に見つけてもらう地域SEO
・Googleマップから電話・問い合わせへ迷わず進めるスマホ導線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9" s="25" t="s">
        <x:v>61</x:v>
      </x:c>
      <x:c r="R9" s="3"/>
      <x:c r="S9" s="3" t="str">
        <x:f t="shared" si="1"/>
      </x:c>
      <x:c r="T9" s="10">
        <x:v>0</x:v>
      </x:c>
      <x:c r="U9" s="10" t="s">
        <x:v>31</x:v>
      </x:c>
      <x:c r="V9" s="10" t="s">
        <x:v>32</x:v>
      </x:c>
      <x:c r="W9" s="4" t="str">
        <x:v>2026-07-15再調査。公開情報が自治体資料中心。開院実態と営業利用可能な連絡先を確認後に送信。</x:v>
      </x:c>
      <x:c r="X9" s="4" t="str">
        <x:v>https://www.city.hiroshima.lg.jp/_res/projects/default_project/_page_/001/020/223/r802.pdf</x:v>
      </x:c>
    </x:row>
    <x:row r="10" ht="42" hidden="0" customHeight="1">
      <x:c r="A10" s="10">
        <x:v>9</x:v>
      </x:c>
      <x:c r="B10" s="8">
        <x:v>1</x:v>
      </x:c>
      <x:c r="C10" s="8" t="s">
        <x:v>23</x:v>
      </x:c>
      <x:c r="D10" s="2" t="s">
        <x:v>62</x:v>
      </x:c>
      <x:c r="E10" s="2" t="s">
        <x:v>48</x:v>
      </x:c>
      <x:c r="F10" s="2" t="s">
        <x:v>63</x:v>
      </x:c>
      <x:c r="G10" s="2" t="s">
        <x:v>64</x:v>
      </x:c>
      <x:c r="H10" s="12">
        <x:v>46073</x:v>
      </x:c>
      <x:c r="I10" s="10">
        <x:f t="shared" si="0"/>
        <x:v>4</x:v>
      </x:c>
      <x:c r="J10" s="13" t="s">
        <x:v>45</x:v>
      </x:c>
      <x:c r="K10" s="2" t="str">
        <x:v>公式HPあり（LINE・Hot Pepperで24時間予約）</x:v>
      </x:c>
      <x:c r="L10" s="2" t="str">
        <x:v>運営会社または公式サイトの営業窓口を確認</x:v>
      </x:c>
      <x:c r="M10" s="2" t="s">
        <x:v>29</x:v>
      </x:c>
      <x:c r="N10" s="4" t="str">
        <x:v>AI姿勢診断、姿勢矯正・深層筋調整、交通事故、産後ケア等を訴求。LINE・Hot Pepperで24時間予約、駐車場6台、土日祝も受付。</x:v>
      </x:c>
      <x:c r="O10" s="4" t="str">
        <x:v>新規制作ではなく、既存サイトの予約計測、症状別SEO、Googleマップ、ページ速度・スマホ導線、広告流入の改善を提案。</x:v>
      </x:c>
      <x:c r="P10" s="25" t="str">
        <x:v>件名：【ひろがる接骨院・鍼灸院様】充実した集客体制をさらに活かすご提案
ひろがる接骨院・鍼灸院 広島スタジアム前院
ご担当者様
突然のご連絡失礼いたします。
整骨院・接骨院・鍼灸院専門のWeb制作・集客支援を行っております、WEBBRIOの柴藤と申します。
公式サイトを拝見しました。AI姿勢診断を使った分かりやすい状態確認、姿勢矯正と深層筋調整、交通事故や産後ケアまで、院の特徴が非常に丁寧に整理されています。LINE・Hot Pepperからの24時間予約、駐車場6台、土日祝の受付まで整っており、患者様が院を知ってから予約・来院するまでの集客体制は既にかなり高い水準で作られていると感じました。
大変失礼ながら、ここまで仕組みが整っているからこそ、どの検索語、ページ、予約窓口が実際の来院につながっているかを計測し、効果の高い導線へ集中させる余地があると思いました。新しく作り直すのではなく、現在の良い仕組みをさらに強くする改善です。
私であれば、たとえば次のようなことまで一貫して対応できます。
・LINE・Hot Pepper・電話それぞれの予約クリック計測
・腰痛・姿勢・交通事故・産後など症状別ページの地域SEO改善
・Googleマップ、広告、公式サイトを横断した流入と予約率の見える化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0" s="25" t="s">
        <x:v>65</x:v>
      </x:c>
      <x:c r="R10" s="3"/>
      <x:c r="S10" s="3" t="str">
        <x:f t="shared" si="1"/>
      </x:c>
      <x:c r="T10" s="10">
        <x:v>0</x:v>
      </x:c>
      <x:c r="U10" s="10" t="s">
        <x:v>31</x:v>
      </x:c>
      <x:c r="V10" s="10" t="s">
        <x:v>32</x:v>
      </x:c>
      <x:c r="W10" s="4" t="str">
        <x:v>2026-07-15再調査で充実した公式HPを確認。新規制作対象外。改善提案は運営会社の営業窓口へ。</x:v>
      </x:c>
      <x:c r="X10" s="4" t="str">
        <x:v>https://hirogaru-hiroshima.com/
https://hirogaru-hiroshima.com/access/
https://www.city.hiroshima.lg.jp/_res/projects/default_project/_page_/001/020/223/r802.pdf</x:v>
      </x:c>
    </x:row>
    <x:row r="11" ht="42" hidden="0" customHeight="1">
      <x:c r="A11" s="11">
        <x:v>10</x:v>
      </x:c>
      <x:c r="B11" s="9">
        <x:v>1</x:v>
      </x:c>
      <x:c r="C11" s="9" t="s">
        <x:v>23</x:v>
      </x:c>
      <x:c r="D11" s="5" t="s">
        <x:v>66</x:v>
      </x:c>
      <x:c r="E11" s="5" t="s">
        <x:v>48</x:v>
      </x:c>
      <x:c r="F11" s="5" t="s">
        <x:v>67</x:v>
      </x:c>
      <x:c r="G11" s="5" t="s">
        <x:v>68</x:v>
      </x:c>
      <x:c r="H11" s="14">
        <x:v>46027</x:v>
      </x:c>
      <x:c r="I11" s="11">
        <x:f t="shared" si="0"/>
        <x:v>5</x:v>
      </x:c>
      <x:c r="J11" s="15" t="s">
        <x:v>69</x:v>
      </x:c>
      <x:c r="K11" s="5" t="str">
        <x:v>旧住所情報が混在・独自HP未確認</x:v>
      </x:c>
      <x:c r="L11" s="5" t="str">
        <x:v>営業・勧誘電話禁止の掲載あり。メール等の適切な窓口未確認</x:v>
      </x:c>
      <x:c r="M11" s="5" t="s">
        <x:v>29</x:v>
      </x:c>
      <x:c r="N11" s="7" t="str">
        <x:v>以前から鶴見町12-18での掲載があり、2026年1月5日に鶴見町11-8-606で開設届。移転・住所変更の可能性が高く、旧住所と新住所が検索上で混在。</x:v>
      </x:c>
      <x:c r="O11" s="7" t="str">
        <x:v>新旧住所の整理、Googleマップ・電話帳のNAP統一、移転告知、公式ページの整備を提案。ただし営業窓口未確認のため送信非推奨。</x:v>
      </x:c>
      <x:c r="P11" s="26" t="str">
        <x:v>件名：【ヤマニシ鍼灸整骨院様】地域で積み重ねた信頼を正しく伝える住所情報の整備について
ヤマニシ鍼灸整骨院（鶴見町新所在地）
ご担当者様
突然のご連絡失礼いたします。
整骨院・接骨院・鍼灸院専門のWeb制作・集客支援を行っております、WEBBRIOの柴藤と申します。
公開情報を拝見しました。以前から鶴見町で診療を続けられ、地域に根差して患者様と向き合ってこられた院であることが分かりました。長く同じ地域で院を継続されていること自体が、患者様からの信頼と実績の表れだと感じています。
大変失礼ながら、現在の検索結果には以前の住所と新しい開設届の住所が混在しており、せっかく積み重ねてこられた信頼に対して、Web上の案内だけが追い付いていないように見えました。患者様が誤った場所へ向かう前に整理する価値があると思います。
私であれば、たとえば次のようなことまで一貫して対応できます。
・Googleマップ・電話帳・各掲載サイトに残る新旧住所の整理
・移転案内と現在地を正確に伝える公式ページ
・院名・住所・電話番号を統一し、地域検索で正しい情報を表示する整備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Q11" s="26" t="s">
        <x:v>70</x:v>
      </x:c>
      <x:c r="R11" s="6"/>
      <x:c r="S11" s="6" t="str">
        <x:f t="shared" si="1"/>
      </x:c>
      <x:c r="T11" s="11">
        <x:v>0</x:v>
      </x:c>
      <x:c r="U11" s="11" t="s">
        <x:v>31</x:v>
      </x:c>
      <x:c r="V11" s="11" t="str">
        <x:v>はい</x:v>
      </x:c>
      <x:c r="W11" s="7" t="str">
        <x:v>2026-07-15再調査。営業・勧誘電話お断りの掲載あり。公開メール未確認のため、適切な営業窓口が確認できるまで送信しない。</x:v>
      </x:c>
      <x:c r="X11" s="7" t="str">
        <x:v>https://www.city.hiroshima.lg.jp/_res/projects/default_project/_page_/001/020/223/r801.pdf
https://kenkounihari.seirin.jp/clinic/4583
https://www.jusei.gr.jp/34096800/</x:v>
      </x:c>
    </x:row>
  </x:sheetData>
  <x:dataValidations count="3">
    <x:dataValidation type="list" sqref="U2:U200">
      <x:formula1>"未送信,下書き済み,送信済み,返信あり,商談中,成約,見送り"</x:formula1>
    </x:dataValidation>
    <x:dataValidation type="list" sqref="V2:V200">
      <x:formula1>"いいえ,はい"</x:formula1>
    </x:dataValidation>
    <x:dataValidation type="whole" sqref="T2:T200">
      <x:formula1>0</x:formula1>
      <x:formula2>2</x:formula2>
    </x:dataValidation>
  </x:dataValidations>
  <x:pageMargins left="0.7" right="0.7" top="0.75" bottom="0.75" header="0.3" footer="0.3"/>
  <x:tableParts count="1">
    <x:tablePart xmlns:r="http://schemas.openxmlformats.org/officeDocument/2006/relationships" r:id="R2225c64b7313403f"/>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19" customWidth="1"/>
    <x:col min="2" max="2" width="90" customWidth="1"/>
  </x:cols>
  <x:sheetData>
    <x:row r="1" ht="34" customHeight="1">
      <x:c r="A1" s="22" t="s">
        <x:v>71</x:v>
      </x:c>
      <x:c r="B1" s="22"/>
      <x:c r="C1" s="22"/>
      <x:c r="D1" s="22"/>
      <x:c r="E1" s="22"/>
      <x:c r="F1" s="22"/>
    </x:row>
    <x:row r="3" ht="15">
      <x:c r="A3" s="16" t="s">
        <x:v>72</x:v>
      </x:c>
      <x:c r="B3" s="16" t="s">
        <x:v>73</x:v>
      </x:c>
    </x:row>
    <x:row r="4" ht="42" customHeight="1">
      <x:c r="A4" s="17" t="s">
        <x:v>74</x:v>
      </x:c>
      <x:c r="B4" s="17" t="s">
        <x:v>75</x:v>
      </x:c>
    </x:row>
    <x:row r="5" ht="42" customHeight="1">
      <x:c r="A5" s="17" t="s">
        <x:v>76</x:v>
      </x:c>
      <x:c r="B5" s="17" t="s">
        <x:v>77</x:v>
      </x:c>
    </x:row>
    <x:row r="6" ht="42" customHeight="1">
      <x:c r="A6" s="17" t="s">
        <x:v>78</x:v>
      </x:c>
      <x:c r="B6" s="17" t="s">
        <x:v>79</x:v>
      </x:c>
    </x:row>
    <x:row r="7" ht="42" customHeight="1">
      <x:c r="A7" s="17" t="s">
        <x:v>18</x:v>
      </x:c>
      <x:c r="B7" s="17" t="s">
        <x:v>80</x:v>
      </x:c>
    </x:row>
    <x:row r="8" ht="42" customHeight="1">
      <x:c r="A8" s="17" t="s">
        <x:v>20</x:v>
      </x:c>
      <x:c r="B8" s="17" t="s">
        <x:v>81</x:v>
      </x:c>
    </x:row>
    <x:row r="9" ht="42" customHeight="1">
      <x:c r="A9" s="17" t="s">
        <x:v>82</x:v>
      </x:c>
      <x:c r="B9" s="17" t="s">
        <x:v>83</x:v>
      </x:c>
    </x:row>
    <x:row r="10" ht="42" customHeight="1">
      <x:c r="A10" s="17" t="s">
        <x:v>84</x:v>
      </x:c>
      <x:c r="B10" s="17" t="s">
        <x:v>85</x:v>
      </x:c>
    </x:row>
    <x:row r="11" ht="42" customHeight="1">
      <x:c r="A11" s="17" t="s">
        <x:v>86</x:v>
      </x:c>
      <x:c r="B11" s="17" t="s">
        <x:v>87</x:v>
      </x:c>
    </x:row>
    <x:row r="12" ht="42" customHeight="1">
      <x:c r="A12" s="18" t="s">
        <x:v>88</x:v>
      </x:c>
      <x:c r="B12" s="18" t="s">
        <x:v>89</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7" customWidth="1"/>
    <x:col min="2" max="2" width="36" customWidth="1"/>
    <x:col min="3" max="3" width="14" customWidth="1"/>
    <x:col min="4" max="4" width="24" customWidth="1"/>
    <x:col min="5" max="5" width="72" customWidth="1"/>
    <x:col min="6" max="7" width="38" customWidth="1"/>
  </x:cols>
  <x:sheetData>
    <x:row r="1" ht="16">
      <x:c r="A1" s="19" t="s">
        <x:v>0</x:v>
      </x:c>
      <x:c r="B1" s="19" t="s">
        <x:v>3</x:v>
      </x:c>
      <x:c r="C1" s="19" t="s">
        <x:v>7</x:v>
      </x:c>
      <x:c r="D1" s="19" t="s">
        <x:v>90</x:v>
      </x:c>
      <x:c r="E1" s="19" t="s">
        <x:v>22</x:v>
      </x:c>
      <x:c r="F1" s="19" t="s">
        <x:v>91</x:v>
      </x:c>
      <x:c r="G1" s="19" t="s">
        <x:v>92</x:v>
      </x:c>
    </x:row>
    <x:row r="2" ht="54" customHeight="1">
      <x:c r="A2" s="17">
        <x:v>1</x:v>
      </x:c>
      <x:c r="B2" s="17" t="s">
        <x:v>24</x:v>
      </x:c>
      <x:c r="C2" s="20">
        <x:v>46146</x:v>
      </x:c>
      <x:c r="D2" s="17" t="s">
        <x:v>93</x:v>
      </x:c>
      <x:c r="E2" s="28" t="str">
        <x:v>https://www.neyagawa-np.jp/open-close/saiki-20260507.html
https://www.hira2.jp/open-close/saikisports-20260427.html</x:v>
      </x:c>
      <x:c r="F2" s="28" t="str">
        <x:v>独自HP未確認（Instagram・LINE中心）</x:v>
      </x:c>
      <x:c r="G2" s="28" t="str">
        <x:v>2026-07-15再調査。独自HPは確認できず。Instagram・LINEの営業利用可否を送信直前に確認。</x:v>
      </x:c>
    </x:row>
    <x:row r="3" ht="54" customHeight="1">
      <x:c r="A3" s="17">
        <x:v>2</x:v>
      </x:c>
      <x:c r="B3" s="17" t="s">
        <x:v>33</x:v>
      </x:c>
      <x:c r="C3" s="20"/>
      <x:c r="D3" s="17" t="s">
        <x:v>93</x:v>
      </x:c>
      <x:c r="E3" s="28" t="str">
        <x:v>https://www.ekiten.jp/shop_70252717/
https://online.peakmanager.com/w7d4k9</x:v>
      </x:c>
      <x:c r="F3" s="28" t="str">
        <x:v>独自HP未確認（エキテン・予約アプリ中心）</x:v>
      </x:c>
      <x:c r="G3" s="28" t="str">
        <x:v>2026-07-15再調査。開業日の確定と公開連絡先の営業利用可否を確認してから送信。</x:v>
      </x:c>
    </x:row>
    <x:row r="4" ht="54" customHeight="1">
      <x:c r="A4" s="17">
        <x:v>3</x:v>
      </x:c>
      <x:c r="B4" s="17" t="s">
        <x:v>38</x:v>
      </x:c>
      <x:c r="C4" s="20">
        <x:v>46174</x:v>
      </x:c>
      <x:c r="D4" s="17" t="s">
        <x:v>93</x:v>
      </x:c>
      <x:c r="E4" s="28" t="str">
        <x:v>https://korien-seikotsu.com/
https://neyagawa.goguynet.jp/2026/06/08/taiju_seikotsu/</x:v>
      </x:c>
      <x:c r="F4" s="28" t="str">
        <x:v>公式HPあり（電話・LINE予約対応）</x:v>
      </x:c>
      <x:c r="G4" s="28" t="str">
        <x:v>2026-07-15再調査で公式HPを確認。新規HP制作ではなく改善提案。営業連絡可否を事前確認。</x:v>
      </x:c>
    </x:row>
    <x:row r="5" ht="54" customHeight="1">
      <x:c r="A5" s="17">
        <x:v>4</x:v>
      </x:c>
      <x:c r="B5" s="17" t="s">
        <x:v>41</x:v>
      </x:c>
      <x:c r="C5" s="20">
        <x:v>46181</x:v>
      </x:c>
      <x:c r="D5" s="17" t="s">
        <x:v>93</x:v>
      </x:c>
      <x:c r="E5" s="28" t="str">
        <x:v>https://with-seikotsuin.com/
https://akashi-journal.com/openclose/with-seikotsuin-nishiakashi/</x:v>
      </x:c>
      <x:c r="F5" s="28" t="str">
        <x:v>グループ公式HPあり・西明石院の独立情報は限定的</x:v>
      </x:c>
      <x:c r="G5" s="28" t="str">
        <x:v>2026-07-15再調査。グループ公式HPあり。西明石院ページの有無と本部の営業受付方針を確認。</x:v>
      </x:c>
    </x:row>
    <x:row r="6" ht="54" customHeight="1">
      <x:c r="A6" s="17">
        <x:v>5</x:v>
      </x:c>
      <x:c r="B6" s="17" t="s">
        <x:v>47</x:v>
      </x:c>
      <x:c r="C6" s="20">
        <x:v>46113</x:v>
      </x:c>
      <x:c r="D6" s="17" t="s">
        <x:v>94</x:v>
      </x:c>
      <x:c r="E6" s="28" t="str">
        <x:v>https://www.city.hiroshima.lg.jp/_res/projects/default_project/_page_/001/020/223/r804.pdf
https://itp.ne.jp/zenkoku/hiroshima/hiroshimashi-asaminamiku/tomohigashi/iryo-kaigo/herusukea/sekkotsu-judoseifuku/sekkotsujuudouseifuku/520000445044520001</x:v>
      </x:c>
      <x:c r="F6" s="28" t="str">
        <x:v>自治体・電話帳掲載のみ確認、独自HP未確認</x:v>
      </x:c>
      <x:c r="G6" s="28" t="str">
        <x:v>2026-07-15再調査。公開情報が限定的。営業利用可能な連絡先と実際の開院状況を確認後に送信。</x:v>
      </x:c>
    </x:row>
    <x:row r="7" ht="54" customHeight="1">
      <x:c r="A7" s="17">
        <x:v>6</x:v>
      </x:c>
      <x:c r="B7" s="17" t="s">
        <x:v>52</x:v>
      </x:c>
      <x:c r="C7" s="20">
        <x:v>46113</x:v>
      </x:c>
      <x:c r="D7" s="17" t="s">
        <x:v>94</x:v>
      </x:c>
      <x:c r="E7" s="28" t="str">
        <x:v>https://www.city.hiroshima.lg.jp/_res/projects/default_project/_page_/001/020/223/r804.pdf
https://www.mapion.co.jp/phonebook/M09010/34105/23430488673/
https://kouseikyoku.mhlw.go.jp/chugokushikoku/000419939.pdf</x:v>
      </x:c>
      <x:c r="F7" s="28" t="str">
        <x:v>既存院の移転可能性あり・独自HP未確認</x:v>
      </x:c>
      <x:c r="G7" s="28" t="str">
        <x:v>2026-07-15再調査。移転の可能性が高い。公開番号への営業電話は避け、適切な連絡窓口を確認。</x:v>
      </x:c>
    </x:row>
    <x:row r="8" ht="54" customHeight="1">
      <x:c r="A8" s="17">
        <x:v>7</x:v>
      </x:c>
      <x:c r="B8" s="17" t="s">
        <x:v>55</x:v>
      </x:c>
      <x:c r="C8" s="20">
        <x:v>46139</x:v>
      </x:c>
      <x:c r="D8" s="17" t="s">
        <x:v>94</x:v>
      </x:c>
      <x:c r="E8" s="28" t="str">
        <x:v>https://nagisasekkotsuin.jp/
https://www.city.hiroshima.lg.jp/_res/projects/default_project/_page_/001/020/223/r804.pdf</x:v>
      </x:c>
      <x:c r="F8" s="28" t="str">
        <x:v>公式HPあり（電話予約・情報発信あり）</x:v>
      </x:c>
      <x:c r="G8" s="28" t="str">
        <x:v>2026-07-15再調査で公式HPを確認。新規HP制作ではなく改善提案。営業連絡可否を事前確認。</x:v>
      </x:c>
    </x:row>
    <x:row r="9" ht="54" customHeight="1">
      <x:c r="A9" s="17">
        <x:v>8</x:v>
      </x:c>
      <x:c r="B9" s="17" t="s">
        <x:v>59</x:v>
      </x:c>
      <x:c r="C9" s="20">
        <x:v>46078</x:v>
      </x:c>
      <x:c r="D9" s="17" t="s">
        <x:v>94</x:v>
      </x:c>
      <x:c r="E9" s="28" t="str">
        <x:v>https://www.city.hiroshima.lg.jp/_res/projects/default_project/_page_/001/020/223/r802.pdf</x:v>
      </x:c>
      <x:c r="F9" s="28" t="str">
        <x:v>自治体資料以外の独自情報・公式HPを確認できず</x:v>
      </x:c>
      <x:c r="G9" s="28" t="str">
        <x:v>2026-07-15再調査。公開情報が自治体資料中心。開院実態と営業利用可能な連絡先を確認後に送信。</x:v>
      </x:c>
    </x:row>
    <x:row r="10" ht="54" customHeight="1">
      <x:c r="A10" s="17">
        <x:v>9</x:v>
      </x:c>
      <x:c r="B10" s="17" t="s">
        <x:v>62</x:v>
      </x:c>
      <x:c r="C10" s="20">
        <x:v>46073</x:v>
      </x:c>
      <x:c r="D10" s="17" t="s">
        <x:v>94</x:v>
      </x:c>
      <x:c r="E10" s="28" t="str">
        <x:v>https://hirogaru-hiroshima.com/
https://hirogaru-hiroshima.com/access/
https://www.city.hiroshima.lg.jp/_res/projects/default_project/_page_/001/020/223/r802.pdf</x:v>
      </x:c>
      <x:c r="F10" s="28" t="str">
        <x:v>公式HPあり（LINE・Hot Pepperで24時間予約）</x:v>
      </x:c>
      <x:c r="G10" s="28" t="str">
        <x:v>2026-07-15再調査で充実した公式HPを確認。新規制作対象外。改善提案は運営会社の営業窓口へ。</x:v>
      </x:c>
    </x:row>
    <x:row r="11" ht="54" customHeight="1">
      <x:c r="A11" s="18">
        <x:v>10</x:v>
      </x:c>
      <x:c r="B11" s="18" t="s">
        <x:v>66</x:v>
      </x:c>
      <x:c r="C11" s="21">
        <x:v>46027</x:v>
      </x:c>
      <x:c r="D11" s="18" t="s">
        <x:v>94</x:v>
      </x:c>
      <x:c r="E11" s="29" t="str">
        <x:v>https://www.city.hiroshima.lg.jp/_res/projects/default_project/_page_/001/020/223/r801.pdf
https://kenkounihari.seirin.jp/clinic/4583
https://www.jusei.gr.jp/34096800/</x:v>
      </x:c>
      <x:c r="F11" s="29" t="str">
        <x:v>旧住所情報が混在・独自HP未確認</x:v>
      </x:c>
      <x:c r="G11" s="29" t="str">
        <x:v>2026-07-15再調査。営業・勧誘電話お断りの掲載あり。公開メール未確認のため、適切な営業窓口が確認できるまで送信しない。</x:v>
      </x:c>
    </x:row>
  </x:sheetData>
  <x:pageMargins left="0.7" right="0.7" top="0.75" bottom="0.75" header="0.3" footer="0.3"/>
  <x:tableParts count="1">
    <x:tablePart xmlns:r="http://schemas.openxmlformats.org/officeDocument/2006/relationships" r:id="R81445ab5d16f434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4" customHeight="1">
      <x:c r="A1" s="32" t="str">
        <x:v>整骨院web｜初回メール全文ビューア</x:v>
      </x:c>
      <x:c r="B1" s="32"/>
      <x:c r="C1" s="32"/>
      <x:c r="D1" s="32"/>
      <x:c r="E1" s="32"/>
      <x:c r="F1" s="32"/>
      <x:c r="G1" s="32"/>
      <x:c r="H1" s="32"/>
      <x:c r="I1" s="32"/>
      <x:c r="J1" s="32"/>
    </x:row>
    <x:row r="3" ht="28" customHeight="1">
      <x:c r="A3" s="35" t="str">
        <x:v>院を選択</x:v>
      </x:c>
      <x:c r="B3" s="40" t="str">
        <x:v>SAIKI整骨院</x:v>
      </x:c>
      <x:c r="C3" s="41"/>
      <x:c r="E3" s="35" t="str">
        <x:v>初回メール全文</x:v>
      </x:c>
      <x:c r="F3" s="35"/>
      <x:c r="G3" s="35"/>
      <x:c r="H3" s="35"/>
      <x:c r="I3" s="35"/>
      <x:c r="J3" s="35"/>
    </x:row>
    <x:row r="4" ht="18" customHeight="1">
      <x:c r="E4" s="130" t="str">
        <x:f>INDEX('ティア1候補'!$P$2:$P$11,MATCH($B$3,'ティア1候補'!$D$2:$D$11,0))</x:f>
        <x:v>件名：【SAIKI整骨院様】施術とトレーニングの魅力をさらに伝えるWeb導線について
SAIKI整骨院
ご担当者様
突然のご連絡失礼いたします。
整骨院・接骨院・鍼灸院専門のWeb制作・集客支援を行っております、WEBBRIOの柴藤と申します。
公開情報を拝見しました。10時から22時まで対応され、一般的な施術だけでなく、アスリート向けパーソナルトレーニングまで一つの院で受けられる点は、他院との違いが非常に分かりやすい強みだと感じました。InstagramとLINEを案内・予約窓口にされているため、スマートフォンで院を探す方がそのまま相談しやすい体制も既に作られています。
大変失礼ながら、初めて院を知った方にとっては、施術とトレーニングの違い、どのような競技や悩みに対応できるのかを一覧で確認できる場所があると、この魅力がさらに伝わりやすくなると感じました。
私であれば、たとえば次のようなことまで一貫して対応できます。
・施術・スポーツ外傷・トレーニングを分かりやすく整理した公式サイト
・競技や悩み別のページと香里園周辺の検索対策
・GoogleマップやInstagramからLINE予約へ自然につなぐ導線
今できている取り組みを変えるのではなく、院の良さがより伝わり、現在の集客・予約体制をさらに活かせる形をご提案します。まずは優先順位を1枚にまとめた改善案を無料でお送りしますので、すぐに制作を決めていただく必要はありません。
ご関心がございましたら、このメールへ「改善案希望」と一言ご返信ください。
ご案内が不要でしたらご返信は不要です。今後の連絡停止をご希望の場合は、その旨をお知らせください。
WEBBRIO
整骨院・接骨院専門ホームページ制作「整骨院web」
柴藤 嵩斎
Web：https://seikotsuinweb.com/
Mail：contact@seikotsuinweb.com
Tel：070-7615-5231</x:v>
      </x:c>
      <x:c r="F4" s="131"/>
      <x:c r="G4" s="131"/>
      <x:c r="H4" s="131"/>
      <x:c r="I4" s="131"/>
      <x:c r="J4" s="132"/>
    </x:row>
    <x:row r="5" ht="18" customHeight="1">
      <x:c r="A5" s="43" t="str">
        <x:v>使い方</x:v>
      </x:c>
      <x:c r="B5" s="43"/>
      <x:c r="C5" s="43"/>
      <x:c r="E5" s="133"/>
      <x:c r="F5" s="134"/>
      <x:c r="G5" s="134"/>
      <x:c r="H5" s="134"/>
      <x:c r="I5" s="134"/>
      <x:c r="J5" s="135"/>
    </x:row>
    <x:row r="6" ht="18" customHeight="1">
      <x:c r="A6" s="64" t="str">
        <x:v>上の黄色いセルを押して院名を選ぶと、右側に初回メールの全文が表示されます。
メインの「ティア1候補」シートは、一覧しやすい短い行高のままです。</x:v>
      </x:c>
      <x:c r="B6" s="65"/>
      <x:c r="C6" s="66"/>
      <x:c r="E6" s="133"/>
      <x:c r="F6" s="134"/>
      <x:c r="G6" s="134"/>
      <x:c r="H6" s="134"/>
      <x:c r="I6" s="134"/>
      <x:c r="J6" s="135"/>
    </x:row>
    <x:row r="7" ht="18" customHeight="1">
      <x:c r="A7" s="67"/>
      <x:c r="B7" s="68"/>
      <x:c r="C7" s="69"/>
      <x:c r="E7" s="133"/>
      <x:c r="F7" s="134"/>
      <x:c r="G7" s="134"/>
      <x:c r="H7" s="134"/>
      <x:c r="I7" s="134"/>
      <x:c r="J7" s="135"/>
    </x:row>
    <x:row r="8" ht="18" customHeight="1">
      <x:c r="A8" s="67"/>
      <x:c r="B8" s="68"/>
      <x:c r="C8" s="69"/>
      <x:c r="E8" s="133"/>
      <x:c r="F8" s="134"/>
      <x:c r="G8" s="134"/>
      <x:c r="H8" s="134"/>
      <x:c r="I8" s="134"/>
      <x:c r="J8" s="135"/>
    </x:row>
    <x:row r="9" ht="18" customHeight="1">
      <x:c r="A9" s="70"/>
      <x:c r="B9" s="71"/>
      <x:c r="C9" s="72"/>
      <x:c r="E9" s="133"/>
      <x:c r="F9" s="134"/>
      <x:c r="G9" s="134"/>
      <x:c r="H9" s="134"/>
      <x:c r="I9" s="134"/>
      <x:c r="J9" s="135"/>
    </x:row>
    <x:row r="10" ht="18" customHeight="1">
      <x:c r="E10" s="133"/>
      <x:c r="F10" s="134"/>
      <x:c r="G10" s="134"/>
      <x:c r="H10" s="134"/>
      <x:c r="I10" s="134"/>
      <x:c r="J10" s="135"/>
    </x:row>
    <x:row r="11" ht="18" customHeight="1">
      <x:c r="A11" s="43" t="str">
        <x:v>今回の提案内容</x:v>
      </x:c>
      <x:c r="B11" s="43"/>
      <x:c r="C11" s="43"/>
      <x:c r="E11" s="133"/>
      <x:c r="F11" s="134"/>
      <x:c r="G11" s="134"/>
      <x:c r="H11" s="134"/>
      <x:c r="I11" s="134"/>
      <x:c r="J11" s="135"/>
    </x:row>
    <x:row r="12" ht="18" customHeight="1">
      <x:c r="A12" s="92" t="str">
        <x:f>INDEX('ティア1候補'!$O$2:$O$11,MATCH($B$3,'ティア1候補'!$D$2:$D$11,0))</x:f>
        <x:v>スポーツ外傷・一般施術・トレーニングを分けて伝える公式サイト、競技別ページ、GoogleマップからLINE予約へつなぐ導線を設計。</x:v>
      </x:c>
      <x:c r="B12" s="93"/>
      <x:c r="C12" s="94"/>
      <x:c r="E12" s="133"/>
      <x:c r="F12" s="134"/>
      <x:c r="G12" s="134"/>
      <x:c r="H12" s="134"/>
      <x:c r="I12" s="134"/>
      <x:c r="J12" s="135"/>
    </x:row>
    <x:row r="13" ht="18" customHeight="1">
      <x:c r="A13" s="95"/>
      <x:c r="B13" s="96"/>
      <x:c r="C13" s="97"/>
      <x:c r="E13" s="133"/>
      <x:c r="F13" s="134"/>
      <x:c r="G13" s="134"/>
      <x:c r="H13" s="134"/>
      <x:c r="I13" s="134"/>
      <x:c r="J13" s="135"/>
    </x:row>
    <x:row r="14" ht="18" customHeight="1">
      <x:c r="A14" s="95"/>
      <x:c r="B14" s="96"/>
      <x:c r="C14" s="97"/>
      <x:c r="E14" s="133"/>
      <x:c r="F14" s="134"/>
      <x:c r="G14" s="134"/>
      <x:c r="H14" s="134"/>
      <x:c r="I14" s="134"/>
      <x:c r="J14" s="135"/>
    </x:row>
    <x:row r="15" ht="18" customHeight="1">
      <x:c r="A15" s="95"/>
      <x:c r="B15" s="96"/>
      <x:c r="C15" s="97"/>
      <x:c r="E15" s="133"/>
      <x:c r="F15" s="134"/>
      <x:c r="G15" s="134"/>
      <x:c r="H15" s="134"/>
      <x:c r="I15" s="134"/>
      <x:c r="J15" s="135"/>
    </x:row>
    <x:row r="16" ht="18" customHeight="1">
      <x:c r="A16" s="95"/>
      <x:c r="B16" s="96"/>
      <x:c r="C16" s="97"/>
      <x:c r="E16" s="133"/>
      <x:c r="F16" s="134"/>
      <x:c r="G16" s="134"/>
      <x:c r="H16" s="134"/>
      <x:c r="I16" s="134"/>
      <x:c r="J16" s="135"/>
    </x:row>
    <x:row r="17" ht="18" customHeight="1">
      <x:c r="A17" s="95"/>
      <x:c r="B17" s="96"/>
      <x:c r="C17" s="97"/>
      <x:c r="E17" s="133"/>
      <x:c r="F17" s="134"/>
      <x:c r="G17" s="134"/>
      <x:c r="H17" s="134"/>
      <x:c r="I17" s="134"/>
      <x:c r="J17" s="135"/>
    </x:row>
    <x:row r="18" ht="18" customHeight="1">
      <x:c r="A18" s="98"/>
      <x:c r="B18" s="99"/>
      <x:c r="C18" s="100"/>
      <x:c r="E18" s="133"/>
      <x:c r="F18" s="134"/>
      <x:c r="G18" s="134"/>
      <x:c r="H18" s="134"/>
      <x:c r="I18" s="134"/>
      <x:c r="J18" s="135"/>
    </x:row>
    <x:row r="19" ht="18" customHeight="1">
      <x:c r="E19" s="133"/>
      <x:c r="F19" s="134"/>
      <x:c r="G19" s="134"/>
      <x:c r="H19" s="134"/>
      <x:c r="I19" s="134"/>
      <x:c r="J19" s="135"/>
    </x:row>
    <x:row r="20" ht="18" customHeight="1">
      <x:c r="E20" s="133"/>
      <x:c r="F20" s="134"/>
      <x:c r="G20" s="134"/>
      <x:c r="H20" s="134"/>
      <x:c r="I20" s="134"/>
      <x:c r="J20" s="135"/>
    </x:row>
    <x:row r="21" ht="18" customHeight="1">
      <x:c r="E21" s="133"/>
      <x:c r="F21" s="134"/>
      <x:c r="G21" s="134"/>
      <x:c r="H21" s="134"/>
      <x:c r="I21" s="134"/>
      <x:c r="J21" s="135"/>
    </x:row>
    <x:row r="22" ht="18" customHeight="1">
      <x:c r="E22" s="133"/>
      <x:c r="F22" s="134"/>
      <x:c r="G22" s="134"/>
      <x:c r="H22" s="134"/>
      <x:c r="I22" s="134"/>
      <x:c r="J22" s="135"/>
    </x:row>
    <x:row r="23" ht="18" customHeight="1">
      <x:c r="E23" s="133"/>
      <x:c r="F23" s="134"/>
      <x:c r="G23" s="134"/>
      <x:c r="H23" s="134"/>
      <x:c r="I23" s="134"/>
      <x:c r="J23" s="135"/>
    </x:row>
    <x:row r="24" ht="18" customHeight="1">
      <x:c r="E24" s="133"/>
      <x:c r="F24" s="134"/>
      <x:c r="G24" s="134"/>
      <x:c r="H24" s="134"/>
      <x:c r="I24" s="134"/>
      <x:c r="J24" s="135"/>
    </x:row>
    <x:row r="25" ht="18" customHeight="1">
      <x:c r="E25" s="133"/>
      <x:c r="F25" s="134"/>
      <x:c r="G25" s="134"/>
      <x:c r="H25" s="134"/>
      <x:c r="I25" s="134"/>
      <x:c r="J25" s="135"/>
    </x:row>
    <x:row r="26" ht="18" customHeight="1">
      <x:c r="E26" s="133"/>
      <x:c r="F26" s="134"/>
      <x:c r="G26" s="134"/>
      <x:c r="H26" s="134"/>
      <x:c r="I26" s="134"/>
      <x:c r="J26" s="135"/>
    </x:row>
    <x:row r="27" ht="18" customHeight="1">
      <x:c r="E27" s="133"/>
      <x:c r="F27" s="134"/>
      <x:c r="G27" s="134"/>
      <x:c r="H27" s="134"/>
      <x:c r="I27" s="134"/>
      <x:c r="J27" s="135"/>
    </x:row>
    <x:row r="28" ht="18" customHeight="1">
      <x:c r="E28" s="136"/>
      <x:c r="F28" s="137"/>
      <x:c r="G28" s="137"/>
      <x:c r="H28" s="137"/>
      <x:c r="I28" s="137"/>
      <x:c r="J28" s="138"/>
    </x:row>
  </x:sheetData>
  <x:mergeCells>
    <x:mergeCell ref="A1:J1"/>
    <x:mergeCell ref="B3:C3"/>
    <x:mergeCell ref="A5:C5"/>
    <x:mergeCell ref="A6:C9"/>
    <x:mergeCell ref="A11:C11"/>
    <x:mergeCell ref="A12:C18"/>
    <x:mergeCell ref="E3:J3"/>
    <x:mergeCell ref="E4:J28"/>
  </x:mergeCells>
  <x:dataValidations count="1">
    <x:dataValidation type="list" sqref="B3">
      <x:formula1>"SAIKI整骨院,谷六からほり整骨院,香里園たいじゅ整骨院,with.鍼灸整骨院 西明石院,がいし鍼灸院・接骨院,ひさもり鍼灸・整骨院,なぎさ接骨院・鍼灸院,みやび整骨院,ひろがる接骨院・鍼灸院 広島スタジアム前院,ヤマニシ鍼灸整骨院（鶴見町新所在地）"</x:formula1>
    </x:dataValidation>
  </x:dataValidations>
  <x:pageMargins left="0.7" right="0.7" top="0.75" bottom="0.75" header="0.3" footer="0.3"/>
</x:worksheet>
</file>