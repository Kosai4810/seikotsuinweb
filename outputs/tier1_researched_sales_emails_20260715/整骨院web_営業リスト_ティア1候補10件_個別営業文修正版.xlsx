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bb59687b334b49" /></Relationships>
</file>

<file path=xl/workbook.xml><?xml version="1.0" encoding="utf-8"?>
<x:workbook xmlns:x="http://schemas.openxmlformats.org/spreadsheetml/2006/main">
  <x:sheets>
    <x:sheet xmlns:r="http://schemas.openxmlformats.org/officeDocument/2006/relationships" name="ティア1候補" sheetId="1" r:id="Rbd46019498d44337"/>
    <x:sheet xmlns:r="http://schemas.openxmlformats.org/officeDocument/2006/relationships" name="運用ルール" sheetId="2" r:id="R1512bf3166c64e69"/>
    <x:sheet xmlns:r="http://schemas.openxmlformats.org/officeDocument/2006/relationships" name="調査根拠" sheetId="3" r:id="Rd2a99d587e394953"/>
  </x:sheets>
</x:workbook>
</file>

<file path=xl/sharedStrings.xml><?xml version="1.0" encoding="utf-8"?>
<x:sst xmlns:x="http://schemas.openxmlformats.org/spreadsheetml/2006/main">
  <x:si>
    <x:t xml:space="preserve">No.</x:t>
  </x:si>
  <x:si>
    <x:t xml:space="preserve">ティア</x:t>
  </x:si>
  <x:si>
    <x:t xml:space="preserve">HP分類</x:t>
  </x:si>
  <x:si>
    <x:t xml:space="preserve">院名</x:t>
  </x:si>
  <x:si>
    <x:t xml:space="preserve">都道府県</x:t>
  </x:si>
  <x:si>
    <x:t xml:space="preserve">市区町村</x:t>
  </x:si>
  <x:si>
    <x:t xml:space="preserve">住所</x:t>
  </x:si>
  <x:si>
    <x:t xml:space="preserve">開業・届出日</x:t>
  </x:si>
  <x:si>
    <x:t xml:space="preserve">経過月数</x:t>
  </x:si>
  <x:si>
    <x:t xml:space="preserve">判定確度</x:t>
  </x:si>
  <x:si>
    <x:t xml:space="preserve">Web状況</x:t>
  </x:si>
  <x:si>
    <x:t xml:space="preserve">連絡方法</x:t>
  </x:si>
  <x:si>
    <x:t xml:space="preserve">メールアドレス</x:t>
  </x:si>
  <x:si>
    <x:t xml:space="preserve">確認した特徴</x:t>
  </x:si>
  <x:si>
    <x:t xml:space="preserve">提案内容</x:t>
  </x:si>
  <x:si>
    <x:t xml:space="preserve">追客メール本文</x:t>
  </x:si>
  <x:si>
    <x:t xml:space="preserve">初回送信日</x:t>
  </x:si>
  <x:si>
    <x:t xml:space="preserve">追客予定日</x:t>
  </x:si>
  <x:si>
    <x:t xml:space="preserve">送信回数</x:t>
  </x:si>
  <x:si>
    <x:t xml:space="preserve">返信状況</x:t>
  </x:si>
  <x:si>
    <x:t xml:space="preserve">送信禁止</x:t>
  </x:si>
  <x:si>
    <x:t xml:space="preserve">判定理由・注意</x:t>
  </x:si>
  <x:si>
    <x:t xml:space="preserve">根拠URL</x:t>
  </x:si>
  <x:si>
    <x:t xml:space="preserve">C</x:t>
  </x:si>
  <x:si>
    <x:t xml:space="preserve">SAIKI整骨院</x:t>
  </x:si>
  <x:si>
    <x:t xml:space="preserve">大阪府</x:t>
  </x:si>
  <x:si>
    <x:t xml:space="preserve">寝屋川市</x:t>
  </x:si>
  <x:si>
    <x:t xml:space="preserve">香里新町15-12</x:t>
  </x:si>
  <x:si>
    <x:t xml:space="preserve">高</x:t>
  </x:si>
  <x:si>
    <x:t xml:space="preserve">未確認</x:t>
  </x:si>
  <x:si>
    <x:t xml:space="preserve">件名：Re:【SAIKI整骨院様】開院後のWeb集客についてご提案です
SAIKI整骨院
ご担当者様
先日、ホームページ制作についてご連絡したWEBBRIOの柴藤です。
その後ご検討状況はいかがでしょうか。
SAIKI整骨院様向けに、必要なページ構成と予約導線の簡単な案を無料でお作りできます。ご興味がございましたら、このメールへ一言ご返信いただければ対応いたします。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</x:si>
  <x:si>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未送信</x:t>
  </x:si>
  <x:si>
    <x:t xml:space="preserve">いいえ</x:t>
  </x:si>
  <x:si>
    <x:t xml:space="preserve">谷六からほり整骨院</x:t>
  </x:si>
  <x:si>
    <x:t xml:space="preserve">大阪市中央区</x:t>
  </x:si>
  <x:si>
    <x:t xml:space="preserve">上本町西2丁目4-17</x:t>
  </x:si>
  <x:si>
    <x:t xml:space="preserve">低・開業日要確認</x:t>
  </x:si>
  <x:si>
    <x:t xml:space="preserve">件名：Re:【谷六からほり整骨院様】開院後のWeb集客についてご提案です
谷六からほり整骨院
ご担当者様
先日、ホームページ制作についてご連絡したWEBBRIOの柴藤です。
その後ご検討状況はいかがでしょうか。
谷六からほり整骨院様向けに、必要なページ構成と予約導線の簡単な案を無料でお作りできます。ご興味がございましたら、このメールへ一言ご返信いただければ対応いたします。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</x:si>
  <x:si>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香里園たいじゅ整骨院</x:t>
  </x:si>
  <x:si>
    <x:t xml:space="preserve">香里新町26-3 香里メディカルビル1F</x:t>
  </x:si>
  <x:si>
    <x:t xml:space="preserve">件名：Re:【香里園たいじゅ整骨院様】開院後のWeb集客についてご提案です
香里園たいじゅ整骨院
ご担当者様
先日、ホームページ制作についてご連絡したWEBBRIOの柴藤です。
その後ご検討状況はいかがでしょうか。
香里園たいじゅ整骨院様向けに、必要なページ構成と予約導線の簡単な案を無料でお作りできます。ご興味がございましたら、このメールへ一言ご返信いただければ対応いたします。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</x:si>
  <x:si>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with.鍼灸整骨院 西明石院</x:t>
  </x:si>
  <x:si>
    <x:t xml:space="preserve">兵庫県</x:t>
  </x:si>
  <x:si>
    <x:t xml:space="preserve">明石市</x:t>
  </x:si>
  <x:si>
    <x:t xml:space="preserve">和坂13-5 プラスパ西明石102</x:t>
  </x:si>
  <x:si>
    <x:t xml:space="preserve">中</x:t>
  </x:si>
  <x:si>
    <x:t xml:space="preserve">件名：Re:【with.鍼灸整骨院 西明石院様】開院後のWeb集客についてご提案です
with.鍼灸整骨院 西明石院
ご担当者様
先日、ホームページ制作についてご連絡したWEBBRIOの柴藤です。
その後ご検討状況はいかがでしょうか。
with.鍼灸整骨院 西明石院様向けに、必要なページ構成と予約導線の簡単な案を無料でお作りできます。ご興味がございましたら、このメールへ一言ご返信いただければ対応いたします。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</x:si>
  <x:si>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がいし鍼灸院・接骨院</x:t>
  </x:si>
  <x:si>
    <x:t xml:space="preserve">広島県</x:t>
  </x:si>
  <x:si>
    <x:t xml:space="preserve">広島市安佐南区</x:t>
  </x:si>
  <x:si>
    <x:t xml:space="preserve">伴東2丁目3-13</x:t>
  </x:si>
  <x:si>
    <x:t xml:space="preserve">件名：Re:【がいし鍼灸院・接骨院様】開院後のWeb集客についてご提案です
がいし鍼灸院・接骨院
ご担当者様
先日、ホームページ制作についてご連絡したWEBBRIOの柴藤です。
その後ご検討状況はいかがでしょうか。
がいし鍼灸院・接骨院様向けに、必要なページ構成と予約導線の簡単な案を無料でお作りできます。ご興味がございましたら、このメールへ一言ご返信いただければ対応いたします。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</x:si>
  <x:si>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ひさもり鍼灸・整骨院</x:t>
  </x:si>
  <x:si>
    <x:t xml:space="preserve">上安2丁目16-18-101</x:t>
  </x:si>
  <x:si>
    <x:t xml:space="preserve">件名：Re:【ひさもり鍼灸・整骨院様】開院後のWeb集客についてご提案です
ひさもり鍼灸・整骨院
ご担当者様
先日、ホームページ制作についてご連絡したWEBBRIOの柴藤です。
その後ご検討状況はいかがでしょうか。
ひさもり鍼灸・整骨院様向けに、必要なページ構成と予約導線の簡単な案を無料でお作りできます。ご興味がございましたら、このメールへ一言ご返信いただければ対応いたします。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</x:si>
  <x:si>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なぎさ接骨院・鍼灸院</x:t>
  </x:si>
  <x:si>
    <x:t xml:space="preserve">広島市東区</x:t>
  </x:si>
  <x:si>
    <x:t xml:space="preserve">牛田本町2丁目8-5</x:t>
  </x:si>
  <x:si>
    <x:t xml:space="preserve">件名：Re:【なぎさ接骨院・鍼灸院様】開院後のWeb集客についてご提案です
なぎさ接骨院・鍼灸院
ご担当者様
先日、ホームページ制作についてご連絡したWEBBRIOの柴藤です。
その後ご検討状況はいかがでしょうか。
なぎさ接骨院・鍼灸院様向けに、必要なページ構成と予約導線の簡単な案を無料でお作りできます。ご興味がございましたら、このメールへ一言ご返信いただければ対応いたします。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</x:si>
  <x:si>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みやび整骨院</x:t>
  </x:si>
  <x:si>
    <x:t xml:space="preserve">毘沙門台2丁目41-31</x:t>
  </x:si>
  <x:si>
    <x:t xml:space="preserve">件名：Re:【みやび整骨院様】開院後のWeb集客についてご提案です
みやび整骨院
ご担当者様
先日、ホームページ制作についてご連絡したWEBBRIOの柴藤です。
その後ご検討状況はいかがでしょうか。
みやび整骨院様向けに、必要なページ構成と予約導線の簡単な案を無料でお作りできます。ご興味がございましたら、このメールへ一言ご返信いただければ対応いたします。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</x:si>
  <x:si>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ひろがる接骨院・鍼灸院 広島スタジアム前院</x:t>
  </x:si>
  <x:si>
    <x:t xml:space="preserve">広島市南区</x:t>
  </x:si>
  <x:si>
    <x:t xml:space="preserve">南蟹屋1丁目1-25</x:t>
  </x:si>
  <x:si>
    <x:t xml:space="preserve">件名：Re:【ひろがる接骨院・鍼灸院 広島スタジアム前院様】開院後のWeb集客についてご提案です
ひろがる接骨院・鍼灸院 広島スタジアム前院
ご担当者様
先日、ホームページ制作についてご連絡したWEBBRIOの柴藤です。
その後ご検討状況はいかがでしょうか。
ひろがる接骨院・鍼灸院 広島スタジアム前院様向けに、必要なページ構成と予約導線の簡単な案を無料でお作りできます。ご興味がございましたら、このメールへ一言ご返信いただければ対応いたします。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</x:si>
  <x:si>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ヤマニシ鍼灸整骨院（鶴見町新所在地）</x:t>
  </x:si>
  <x:si>
    <x:t xml:space="preserve">広島市中区</x:t>
  </x:si>
  <x:si>
    <x:t xml:space="preserve">鶴見町11-8-606</x:t>
  </x:si>
  <x:si>
    <x:t xml:space="preserve">低・移転等要確認</x:t>
  </x:si>
  <x:si>
    <x:t xml:space="preserve">件名：Re:【ヤマニシ鍼灸整骨院（鶴見町新所在地）様】開院後のWeb集客についてご提案です
ヤマニシ鍼灸整骨院（鶴見町新所在地）
ご担当者様
先日、ホームページ制作についてご連絡したWEBBRIOの柴藤です。
その後ご検討状況はいかがでしょうか。
ヤマニシ鍼灸整骨院（鶴見町新所在地）様向けに、必要なページ構成と予約導線の簡単な案を無料でお作りできます。ご興味がございましたら、このメールへ一言ご返信いただければ対応いたします。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</x:si>
  <x:si>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整骨院web 営業リスト運用ルール</x:t>
  </x:si>
  <x:si>
    <x:t xml:space="preserve">項目</x:t>
  </x:si>
  <x:si>
    <x:t xml:space="preserve">ルール</x:t>
  </x:si>
  <x:si>
    <x:t xml:space="preserve">ティア1</x:t>
  </x:si>
  <x:si>
    <x:t xml:space="preserve">開業半年未満かつ独自HPがないC。今回の一覧は公開情報による候補で、送信直前に再確認する。</x:t>
  </x:si>
  <x:si>
    <x:t xml:space="preserve">初回送信</x:t>
  </x:si>
  <x:si>
    <x:t xml:space="preserve">個別調査済みの本文だけを使用。宛先・院名・事実関係を確認してから送信。</x:t>
  </x:si>
  <x:si>
    <x:t xml:space="preserve">追客</x:t>
  </x:si>
  <x:si>
    <x:t xml:space="preserve">返信がない場合のみ7日後を目安に1回まで。</x:t>
  </x:si>
  <x:si>
    <x:t xml:space="preserve">最大2回（初回1回＋追客1回）。</x:t>
  </x:si>
  <x:si>
    <x:t xml:space="preserve">拒否・配信停止依頼・閉院・連絡先誤りは即「はい」。以後送らない。</x:t>
  </x:si>
  <x:si>
    <x:t xml:space="preserve">電話</x:t>
  </x:si>
  <x:si>
    <x:t xml:space="preserve">公開電話番号は患者予約用の可能性があるため、営業電話には原則使用しない。</x:t>
  </x:si>
  <x:si>
    <x:t xml:space="preserve">公開メール</x:t>
  </x:si>
  <x:si>
    <x:t xml:space="preserve">営業利用を禁止している掲載ページの連絡先は使用しない。</x:t>
  </x:si>
  <x:si>
    <x:t xml:space="preserve">事実確認</x:t>
  </x:si>
  <x:si>
    <x:t xml:space="preserve">開業日、独自HPの有無、院名、所在地、連絡経路を送信当日に再確認。</x:t>
  </x:si>
  <x:si>
    <x:t xml:space="preserve">下書き保存</x:t>
  </x:si>
  <x:si>
    <x:t xml:space="preserve">Gmailに作成する内容とExcelの初回・追客本文を一致させる。</x:t>
  </x:si>
  <x:si>
    <x:t xml:space="preserve">根拠区分</x:t>
  </x:si>
  <x:si>
    <x:t xml:space="preserve">HP判定</x:t>
  </x:si>
  <x:si>
    <x:t xml:space="preserve">送信前確認</x:t>
  </x:si>
  <x:si>
    <x:t xml:space="preserve">地域記事・施設掲載</x:t>
  </x:si>
  <x:si>
    <x:t xml:space="preserve">自治体の開設届公表資料</x:t>
  </x:si>
</x:sst>
</file>

<file path=xl/styles.xml><?xml version="1.0" encoding="utf-8"?>
<x:styleSheet xmlns:x="http://schemas.openxmlformats.org/spreadsheetml/2006/main">
  <x:numFmts count="1">
    <x:numFmt numFmtId="176" formatCode="yyyy\-mm\-dd"/>
  </x:numFmts>
  <x:fonts count="7">
    <x:font>
      <x:sz val="11"/>
      <x:name val="Carlito"/>
    </x:font>
    <x:font>
      <x:b/>
      <x:sz val="11"/>
      <x:color rgb="FFFFFFFF"/>
      <x:name val="Carlito"/>
    </x:font>
    <x:font>
      <x:sz val="11"/>
      <x:color rgb="FF2A2620"/>
      <x:name val="Carlito"/>
    </x:font>
    <x:font>
      <x:b/>
      <x:sz val="11"/>
      <x:color rgb="FF806334"/>
      <x:name val="Carlito"/>
    </x:font>
    <x:font>
      <x:b/>
      <x:sz val="18"/>
      <x:color rgb="FFFFFFFF"/>
      <x:name val="Carlito"/>
    </x:font>
    <x:font>
      <x:sz val="11"/>
      <x:name val="Carlito"/>
    </x:font>
    <x:font>
      <x:sz val="6"/>
      <x:name val="Tsukushi A Round Gothic Bold"/>
    </x:font>
  </x:fonts>
  <x:fills count="5">
    <x:fill>
      <x:patternFill patternType="none"/>
    </x:fill>
    <x:fill>
      <x:patternFill patternType="gray125"/>
    </x:fill>
    <x:fill>
      <x:patternFill patternType="solid">
        <x:fgColor rgb="FF806334"/>
      </x:patternFill>
    </x:fill>
    <x:fill>
      <x:patternFill patternType="solid">
        <x:fgColor rgb="FFF2E6CC"/>
      </x:patternFill>
    </x:fill>
    <x:fill>
      <x:patternFill patternType="solid">
        <x:fgColor rgb="FFA88750"/>
      </x:patternFill>
    </x:fill>
  </x:fills>
  <x:borders count="5">
    <x:border/>
    <x:border>
      <x:bottom style="thin">
        <x:color rgb="FFDDD4C5"/>
      </x:bottom>
    </x:border>
    <x:border>
      <x:top style="thin">
        <x:color rgb="FFDDD4C5"/>
      </x:top>
      <x:bottom style="thin">
        <x:color rgb="FFDDD4C5"/>
      </x:bottom>
    </x:border>
    <x:border>
      <x:top style="thin">
        <x:color rgb="FFDDD4C5"/>
      </x:top>
      <x:bottom style="thin">
        <x:color rgb="FFB8A98F"/>
      </x:bottom>
    </x:border>
    <x:border>
      <x:top style="thin">
        <x:color rgb="FFDDD4C5"/>
      </x:top>
    </x:border>
  </x:borders>
  <x:cellStyleXfs count="2">
    <x:xf numFmtId="0" fontId="0" fillId="0" borderId="0"/>
    <x:xf numFmtId="0" fontId="5" fillId="0" borderId="0"/>
  </x:cellStyleXfs>
  <x:cellXfs count="30">
    <x:xf numFmtId="0" fontId="0" fillId="0" borderId="0" xfId="0"/>
    <x:xf numFmtId="0" fontId="1" fillId="2" borderId="1" xfId="1" applyFont="1" applyFill="1" applyBorder="1" applyAlignment="1">
      <x:alignment vertical="center" wrapText="1"/>
    </x:xf>
    <x:xf numFmtId="0" fontId="2" fillId="0" borderId="2" xfId="1" applyFont="1" applyBorder="1" applyAlignment="1">
      <x:alignment vertical="top"/>
    </x:xf>
    <x:xf numFmtId="176" fontId="2" fillId="0" borderId="2" xfId="1" applyNumberFormat="1" applyFont="1" applyBorder="1" applyAlignment="1">
      <x:alignment vertical="top"/>
    </x:xf>
    <x:xf numFmtId="0" fontId="2" fillId="0" borderId="2" xfId="1" applyFont="1" applyBorder="1" applyAlignment="1">
      <x:alignment vertical="top" wrapText="1"/>
    </x:xf>
    <x:xf numFmtId="0" fontId="2" fillId="0" borderId="3" xfId="1" applyFont="1" applyBorder="1" applyAlignment="1">
      <x:alignment vertical="top"/>
    </x:xf>
    <x:xf numFmtId="176" fontId="2" fillId="0" borderId="3" xfId="1" applyNumberFormat="1" applyFont="1" applyBorder="1" applyAlignment="1">
      <x:alignment vertical="top"/>
    </x:xf>
    <x:xf numFmtId="0" fontId="2" fillId="0" borderId="3" xfId="1" applyFont="1" applyBorder="1" applyAlignment="1">
      <x:alignment vertical="top" wrapText="1"/>
    </x:xf>
    <x:xf numFmtId="0" fontId="3" fillId="3" borderId="2" xfId="1" applyFont="1" applyFill="1" applyBorder="1" applyAlignment="1">
      <x:alignment horizontal="center" vertical="top"/>
    </x:xf>
    <x:xf numFmtId="0" fontId="3" fillId="3" borderId="3" xfId="1" applyFont="1" applyFill="1" applyBorder="1" applyAlignment="1">
      <x:alignment horizontal="center" vertical="top"/>
    </x:xf>
    <x:xf numFmtId="0" fontId="2" fillId="0" borderId="2" xfId="1" applyFont="1" applyBorder="1" applyAlignment="1">
      <x:alignment horizontal="center" vertical="top"/>
    </x:xf>
    <x:xf numFmtId="0" fontId="2" fillId="0" borderId="3" xfId="1" applyFont="1" applyBorder="1" applyAlignment="1">
      <x:alignment horizontal="center" vertical="top"/>
    </x:xf>
    <x:xf numFmtId="176" fontId="2" fillId="0" borderId="2" xfId="1" applyNumberFormat="1" applyFont="1" applyBorder="1" applyAlignment="1">
      <x:alignment horizontal="center" vertical="top"/>
    </x:xf>
    <x:xf numFmtId="0" fontId="2" fillId="0" borderId="2" xfId="1" applyFont="1" applyBorder="1" applyAlignment="1">
      <x:alignment horizontal="center" vertical="top" wrapText="1"/>
    </x:xf>
    <x:xf numFmtId="176" fontId="2" fillId="0" borderId="3" xfId="1" applyNumberFormat="1" applyFont="1" applyBorder="1" applyAlignment="1">
      <x:alignment horizontal="center" vertical="top"/>
    </x:xf>
    <x:xf numFmtId="0" fontId="2" fillId="0" borderId="3" xfId="1" applyFont="1" applyBorder="1" applyAlignment="1">
      <x:alignment horizontal="center" vertical="top" wrapText="1"/>
    </x:xf>
    <x:xf numFmtId="0" fontId="1" fillId="4" borderId="1" xfId="1" applyFont="1" applyFill="1" applyBorder="1"/>
    <x:xf numFmtId="0" fontId="0" fillId="0" borderId="2" xfId="1" applyFont="1" applyBorder="1" applyAlignment="1">
      <x:alignment wrapText="1"/>
    </x:xf>
    <x:xf numFmtId="0" fontId="0" fillId="0" borderId="4" xfId="1" applyFont="1" applyBorder="1" applyAlignment="1">
      <x:alignment wrapText="1"/>
    </x:xf>
    <x:xf numFmtId="0" fontId="1" fillId="2" borderId="1" xfId="1" applyFont="1" applyFill="1" applyBorder="1" applyAlignment="1">
      <x:alignment wrapText="1"/>
    </x:xf>
    <x:xf numFmtId="176" fontId="0" fillId="0" borderId="2" xfId="1" applyNumberFormat="1" applyFont="1" applyBorder="1" applyAlignment="1">
      <x:alignment wrapText="1"/>
    </x:xf>
    <x:xf numFmtId="176" fontId="0" fillId="0" borderId="4" xfId="1" applyNumberFormat="1" applyFont="1" applyBorder="1" applyAlignment="1">
      <x:alignment wrapText="1"/>
    </x:xf>
    <x:xf numFmtId="0" fontId="4" fillId="2" borderId="0" xfId="1" applyFont="1" applyFill="1" applyAlignment="1">
      <x:alignment horizontal="left"/>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2" xfId="0" applyNumberFormat="1" applyFont="1" applyFill="1" applyBorder="1" applyAlignment="1">
      <x:alignment vertical="top" wrapText="0"/>
    </x:xf>
    <x:xf numFmtId="0" fontId="2" fillId="0" borderId="3" xfId="0" applyNumberFormat="1" applyFont="1" applyFill="1" applyBorder="1" applyAlignment="1">
      <x:alignment vertical="top" wrapText="0"/>
    </x:xf>
    <x:xf numFmtId="0" fontId="1" fillId="2" borderId="1" xfId="0" applyNumberFormat="1" applyFont="1" applyFill="1" applyBorder="1" applyAlignment="1">
      <x:alignment vertical="center" wrapText="1"/>
    </x:xf>
    <x:xf numFmtId="0" fontId="0" fillId="0" borderId="2" xfId="0" applyNumberFormat="1" applyFont="1" applyFill="1" applyBorder="1" applyAlignment="1">
      <x:alignment wrapText="1"/>
    </x:xf>
    <x:xf numFmtId="0" fontId="0" fillId="0" borderId="4" xfId="0" applyNumberFormat="1" applyFont="1" applyFill="1" applyBorder="1" applyAlignment="1">
      <x:alignment wrapText="1"/>
    </x:xf>
  </x:cellXfs>
  <x:cellStyles count="2">
    <x:cellStyle name="Normal"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630eb5a5e24144b6" /><Relationship Type="http://schemas.openxmlformats.org/officeDocument/2006/relationships/theme" Target="/xl/theme/theme1.xml" Id="R6bc2dada097841c4" /><Relationship Type="http://schemas.openxmlformats.org/officeDocument/2006/relationships/sharedStrings" Target="/xl/sharedStrings.xml" Id="Rc77b0d1d132741ce" /><Relationship Type="http://schemas.openxmlformats.org/officeDocument/2006/relationships/worksheet" Target="/xl/worksheets/sheet1.xml" Id="Rbd46019498d44337" /><Relationship Type="http://schemas.openxmlformats.org/officeDocument/2006/relationships/worksheet" Target="/xl/worksheets/sheet2.xml" Id="R1512bf3166c64e69" /><Relationship Type="http://schemas.openxmlformats.org/officeDocument/2006/relationships/worksheet" Target="/xl/worksheets/sheet3.xml" Id="Rd2a99d587e394953" /></Relationships>
</file>

<file path=xl/tables/table1.xml><?xml version="1.0" encoding="utf-8"?>
<x:table xmlns:x="http://schemas.openxmlformats.org/spreadsheetml/2006/main" id="1" name="Tier1Leads" displayName="Tier1Leads" ref="A1:X11" totalsRowShown="0">
  <x:tableColumns count="24">
    <x:tableColumn id="1" name="No."/>
    <x:tableColumn id="2" name="ティア"/>
    <x:tableColumn id="3" name="HP分類"/>
    <x:tableColumn id="4" name="院名"/>
    <x:tableColumn id="5" name="都道府県"/>
    <x:tableColumn id="6" name="市区町村"/>
    <x:tableColumn id="7" name="住所"/>
    <x:tableColumn id="8" name="開業・届出日"/>
    <x:tableColumn id="9" name="経過月数"/>
    <x:tableColumn id="10" name="判定確度"/>
    <x:tableColumn id="11" name="Web状況"/>
    <x:tableColumn id="12" name="連絡方法"/>
    <x:tableColumn id="13" name="メールアドレス"/>
    <x:tableColumn id="14" name="確認した特徴"/>
    <x:tableColumn id="15" name="提案内容"/>
    <x:tableColumn id="16" name="初回メール件名・本文"/>
    <x:tableColumn id="17" name="追客メール本文"/>
    <x:tableColumn id="18" name="初回送信日"/>
    <x:tableColumn id="19" name="追客予定日"/>
    <x:tableColumn id="20" name="送信回数"/>
    <x:tableColumn id="21" name="返信状況"/>
    <x:tableColumn id="22" name="送信禁止"/>
    <x:tableColumn id="23" name="判定理由・注意"/>
    <x:tableColumn id="24" name="根拠URL"/>
  </x:tableColumns>
  <x:tableStyleInfo name="TableStyleMedium2" showFirstColumn="0" showLastColumn="0" showRowStripes="1" showColumnStripes="0"/>
</x:table>
</file>

<file path=xl/tables/table2.xml><?xml version="1.0" encoding="utf-8"?>
<x:table xmlns:x="http://schemas.openxmlformats.org/spreadsheetml/2006/main" id="2" name="SourceEvidence" displayName="SourceEvidence" ref="A1:G11" totalsRowShown="0">
  <x:tableColumns count="7">
    <x:tableColumn id="1" name="No."/>
    <x:tableColumn id="2" name="院名"/>
    <x:tableColumn id="3" name="開業・届出日"/>
    <x:tableColumn id="4" name="根拠区分"/>
    <x:tableColumn id="5" name="根拠URL"/>
    <x:tableColumn id="6" name="HP判定"/>
    <x:tableColumn id="7" name="送信前確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e7e252e52bd41e7" /></Relationships>
</file>

<file path=xl/worksheets/_rels/sheet3.xml.rels>&#65279;<?xml version="1.0" encoding="utf-8"?><Relationships xmlns="http://schemas.openxmlformats.org/package/2006/relationships"><Relationship Type="http://schemas.openxmlformats.org/officeDocument/2006/relationships/table" Target="/xl/tables/table2.xml" Id="R1334e85d1bf744c4"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2" width="7" customWidth="1"/>
    <x:col min="3" max="3" width="9" customWidth="1"/>
    <x:col min="4" max="4" width="27" customWidth="1"/>
    <x:col min="5" max="5" width="11" customWidth="1"/>
    <x:col min="6" max="6" width="15" customWidth="1"/>
    <x:col min="7" max="7" width="28" customWidth="1"/>
    <x:col min="8" max="8" width="13" customWidth="1"/>
    <x:col min="9" max="9" width="10" customWidth="1"/>
    <x:col min="10" max="10" width="17" customWidth="1"/>
    <x:col min="11" max="11" width="30" customWidth="1"/>
    <x:col min="12" max="12" width="24" customWidth="1"/>
    <x:col min="13" max="13" width="26" customWidth="1"/>
    <x:col min="14" max="14" width="45" customWidth="1"/>
    <x:col min="15" max="15" width="48" customWidth="1"/>
    <x:col min="16" max="16" width="42" hidden="0" customWidth="1"/>
    <x:col min="17" max="17" width="32" hidden="0" customWidth="1"/>
    <x:col min="18" max="19" width="13" customWidth="1"/>
    <x:col min="20" max="20" width="10" customWidth="1"/>
    <x:col min="21" max="21" width="13" customWidth="1"/>
    <x:col min="22" max="22" width="11" customWidth="1"/>
    <x:col min="23" max="23" width="38" customWidth="1"/>
    <x:col min="24" max="24" width="52" customWidth="1"/>
  </x:cols>
  <x:sheetData>
    <x:row r="1" ht="42"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27" t="str">
        <x:v>初回メール（セル選択→数式バーで全文）</x:v>
      </x:c>
      <x:c r="Q1" s="1" t="s">
        <x:v>15</x:v>
      </x:c>
      <x:c r="R1" s="1" t="s">
        <x:v>16</x:v>
      </x:c>
      <x:c r="S1" s="1" t="s">
        <x:v>17</x:v>
      </x:c>
      <x:c r="T1" s="1" t="s">
        <x:v>18</x:v>
      </x:c>
      <x:c r="U1" s="1" t="s">
        <x:v>19</x:v>
      </x:c>
      <x:c r="V1" s="1" t="s">
        <x:v>20</x:v>
      </x:c>
      <x:c r="W1" s="1" t="s">
        <x:v>21</x:v>
      </x:c>
      <x:c r="X1" s="1" t="s">
        <x:v>22</x:v>
      </x:c>
    </x:row>
    <x:row r="2" ht="42" hidden="0" customHeight="1">
      <x:c r="A2" s="10">
        <x:v>1</x:v>
      </x:c>
      <x:c r="B2" s="8">
        <x:v>1</x:v>
      </x:c>
      <x:c r="C2" s="8" t="s">
        <x:v>23</x:v>
      </x:c>
      <x:c r="D2" s="2" t="s">
        <x:v>24</x:v>
      </x:c>
      <x:c r="E2" s="2" t="s">
        <x:v>25</x:v>
      </x:c>
      <x:c r="F2" s="2" t="s">
        <x:v>26</x:v>
      </x:c>
      <x:c r="G2" s="2" t="s">
        <x:v>27</x:v>
      </x:c>
      <x:c r="H2" s="12">
        <x:v>46146</x:v>
      </x:c>
      <x:c r="I2" s="10" t="n">
        <x:f t="shared" ref="I2:I11" si="0">IF(H2="","",DATEDIF(H2,DATE(2026,7,3),"m"))</x:f>
        <x:v>1</x:v>
      </x:c>
      <x:c r="J2" s="13" t="s">
        <x:v>28</x:v>
      </x:c>
      <x:c r="K2" s="2" t="str">
        <x:v>独自HP未確認（Instagram・LINE中心）</x:v>
      </x:c>
      <x:c r="L2" s="2" t="str">
        <x:v>公式InstagramまたはLINE（送信可否を確認）</x:v>
      </x:c>
      <x:c r="M2" s="2" t="s">
        <x:v>29</x:v>
      </x:c>
      <x:c r="N2" s="4" t="str">
        <x:v>2026年5月4日開院。10時〜22時、水・日休診。施術に加え、アスリート向けパーソナルトレーニングを案内。予約はInstagram・LINE中心。</x:v>
      </x:c>
      <x:c r="O2" s="4" t="str">
        <x:v>スポーツ外傷・一般施術・トレーニングを分けて伝える公式サイト、競技別ページ、GoogleマップからLINE予約へつなぐ導線を設計。</x:v>
      </x:c>
      <x:c r="P2" s="25" t="str">
        <x:v>件名：【SAIKI整骨院様】施術とトレーニングの強みを伝えるWeb導線のご提案
SAIKI整骨院
ご担当者様
突然のご連絡失礼いたします。
整骨院・接骨院・鍼灸院専門のWeb制作・集客支援を行っております、WEBBRIOの柴藤と申します。
公開情報で、2026年5月4日に香里新町で開院され、10時から22時までの施術に加えて、アスリート向けパーソナルトレーニングにも対応されていることを拝見しました。現在はInstagramとLINEが主な案内・予約窓口と認識しています。
そのうえで、私であれば次のような形でお手伝いできます。
・施術・スポーツ外傷・トレーニングを迷わず選べる公式サイトの設計
・競技や悩み別のページ作成と、香里園周辺での検索対策
・GoogleマップやInstagramからLINE予約へ自然につなぐスマホ導線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2" s="25" t="s">
        <x:v>30</x:v>
      </x:c>
      <x:c r="R2" s="3"/>
      <x:c r="S2" s="3" t="str">
        <x:f t="shared" ref="S2:S11" si="1">IF(R2="","",R2+7)</x:f>
      </x:c>
      <x:c r="T2" s="10">
        <x:v>0</x:v>
      </x:c>
      <x:c r="U2" s="10" t="s">
        <x:v>31</x:v>
      </x:c>
      <x:c r="V2" s="10" t="s">
        <x:v>32</x:v>
      </x:c>
      <x:c r="W2" s="4" t="str">
        <x:v>2026-07-15再調査。独自HPは確認できず。Instagram・LINEの営業利用可否を送信直前に確認。</x:v>
      </x:c>
      <x:c r="X2" s="4" t="str">
        <x:v>https://www.neyagawa-np.jp/open-close/saiki-20260507.html
https://www.hira2.jp/open-close/saikisports-20260427.html</x:v>
      </x:c>
    </x:row>
    <x:row r="3" ht="42" hidden="0" customHeight="1">
      <x:c r="A3" s="10">
        <x:v>2</x:v>
      </x:c>
      <x:c r="B3" s="8">
        <x:v>1</x:v>
      </x:c>
      <x:c r="C3" s="8" t="s">
        <x:v>23</x:v>
      </x:c>
      <x:c r="D3" s="2" t="s">
        <x:v>33</x:v>
      </x:c>
      <x:c r="E3" s="2" t="s">
        <x:v>25</x:v>
      </x:c>
      <x:c r="F3" s="2" t="s">
        <x:v>34</x:v>
      </x:c>
      <x:c r="G3" s="2" t="s">
        <x:v>35</x:v>
      </x:c>
      <x:c r="H3" s="12"/>
      <x:c r="I3" s="10" t="str">
        <x:f t="shared" si="0"/>
      </x:c>
      <x:c r="J3" s="13" t="s">
        <x:v>36</x:v>
      </x:c>
      <x:c r="K3" s="2" t="str">
        <x:v>独自HP未確認（エキテン・予約アプリ中心）</x:v>
      </x:c>
      <x:c r="L3" s="2" t="str">
        <x:v>公開された適切な連絡窓口を要確認</x:v>
      </x:c>
      <x:c r="M3" s="2" t="s">
        <x:v>29</x:v>
      </x:c>
      <x:c r="N3" s="4" t="str">
        <x:v>2026年1月オープン表記。谷町六丁目駅徒歩約5分、予約優先。女性スタッフ在籍、日祝午前も受付。保険施術に加えて全身ほぐし・筋膜リリース等を案内。</x:v>
      </x:c>
      <x:c r="O3" s="4" t="str">
        <x:v>保険施術と自費メニューを分かりやすく整理し、駅名検索・日祝診療・女性スタッフ・ネット予約の強みを一つの公式サイトに統合。</x:v>
      </x:c>
      <x:c r="P3" s="25" t="str">
        <x:v>件名：【谷六からほり整骨院様】保険施術と自費メニューを分かりやすく伝えるご提案
谷六からほり整骨院
ご担当者様
突然のご連絡失礼いたします。
整骨院・接骨院・鍼灸院専門のWeb制作・集客支援を行っております、WEBBRIOの柴藤と申します。
公開情報で、谷町六丁目駅から徒歩約5分、予約優先制で、日曜・祝日も午前受付をされていることを拝見しました。女性スタッフが在籍され、保険施術に加えて全身ほぐし・筋膜リリース・ポールストレッチなども用意されている一方、情報が施設ページと予約サービスに分かれています。
そのうえで、私であれば次のような形でお手伝いできます。
・保険施術と自費メニューの違い・料金・初回の流れを整理した公式ページ
・『谷町六丁目 整骨院』『日曜 整骨院』など地域検索を意識したページ設計
・既存のネット予約を活かし、スマホから少ない操作で予約できる導線改善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3" s="25" t="s">
        <x:v>37</x:v>
      </x:c>
      <x:c r="R3" s="3"/>
      <x:c r="S3" s="3" t="str">
        <x:f t="shared" si="1"/>
      </x:c>
      <x:c r="T3" s="10">
        <x:v>0</x:v>
      </x:c>
      <x:c r="U3" s="10" t="s">
        <x:v>31</x:v>
      </x:c>
      <x:c r="V3" s="10" t="s">
        <x:v>32</x:v>
      </x:c>
      <x:c r="W3" s="4" t="str">
        <x:v>2026-07-15再調査。開業日の確定と公開連絡先の営業利用可否を確認してから送信。</x:v>
      </x:c>
      <x:c r="X3" s="4" t="str">
        <x:v>https://www.ekiten.jp/shop_70252717/
https://online.peakmanager.com/w7d4k9</x:v>
      </x:c>
    </x:row>
    <x:row r="4" ht="42" hidden="0" customHeight="1">
      <x:c r="A4" s="10">
        <x:v>3</x:v>
      </x:c>
      <x:c r="B4" s="8">
        <x:v>1</x:v>
      </x:c>
      <x:c r="C4" s="8" t="s">
        <x:v>23</x:v>
      </x:c>
      <x:c r="D4" s="2" t="s">
        <x:v>38</x:v>
      </x:c>
      <x:c r="E4" s="2" t="s">
        <x:v>25</x:v>
      </x:c>
      <x:c r="F4" s="2" t="s">
        <x:v>26</x:v>
      </x:c>
      <x:c r="G4" s="2" t="s">
        <x:v>39</x:v>
      </x:c>
      <x:c r="H4" s="12">
        <x:v>46174</x:v>
      </x:c>
      <x:c r="I4" s="10">
        <x:f t="shared" si="0"/>
        <x:v>1</x:v>
      </x:c>
      <x:c r="J4" s="13" t="s">
        <x:v>28</x:v>
      </x:c>
      <x:c r="K4" s="2" t="str">
        <x:v>公式HPあり（電話・LINE予約対応）</x:v>
      </x:c>
      <x:c r="L4" s="2" t="str">
        <x:v>公式サイトの問い合わせ方針を確認</x:v>
      </x:c>
      <x:c r="M4" s="2" t="s">
        <x:v>29</x:v>
      </x:c>
      <x:c r="N4" s="4" t="str">
        <x:v>香里園駅徒歩3分。腰痛・スポーツ外傷を強みとして案内。院長はサッカー、副院長は野球経験があり、電話・LINE予約、症状・スタッフ・FAQページを整備済み。</x:v>
      </x:c>
      <x:c r="O4" s="4" t="str">
        <x:v>新規制作ではなく、症状別SEO、Googleマップ、LINE予約の計測、スポーツ実績・症例コンテンツの強化を提案。</x:v>
      </x:c>
      <x:c r="P4" s="25" t="str">
        <x:v>件名：【香里園たいじゅ整骨院様】スポーツ外傷の強みを検索と予約につなげるご提案
香里園たいじゅ整骨院
ご担当者様
突然のご連絡失礼いたします。
整骨院・接骨院・鍼灸院専門のWeb制作・集客支援を行っております、WEBBRIOの柴藤と申します。
公式サイトを拝見し、香里園駅徒歩3分の立地、腰痛・スポーツ外傷への注力、サッカー経験のある院長先生と野球経験のある副院長先生の紹介、電話・LINE予約まで既に丁寧に整備されていることを確認しました。新規サイトを作るよりも、現在の強みを検索と予約に結び付ける改善余地があると感じています。
そのうえで、私であれば次のような形でお手伝いできます。
・競技別・ケガ別の症例ページを増やし、地域検索からの入口を拡張
・Googleマップ・公式サイト・LINE予約の導線と表記を統一
・アクセス解析を入れ、どのページが相談や予約につながったかを見える化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4" s="25" t="s">
        <x:v>40</x:v>
      </x:c>
      <x:c r="R4" s="3"/>
      <x:c r="S4" s="3" t="str">
        <x:f t="shared" si="1"/>
      </x:c>
      <x:c r="T4" s="10">
        <x:v>0</x:v>
      </x:c>
      <x:c r="U4" s="10" t="s">
        <x:v>31</x:v>
      </x:c>
      <x:c r="V4" s="10" t="s">
        <x:v>32</x:v>
      </x:c>
      <x:c r="W4" s="4" t="str">
        <x:v>2026-07-15再調査で公式HPを確認。新規HP制作ではなく改善提案。営業連絡可否を事前確認。</x:v>
      </x:c>
      <x:c r="X4" s="4" t="str">
        <x:v>https://korien-seikotsu.com/
https://neyagawa.goguynet.jp/2026/06/08/taiju_seikotsu/</x:v>
      </x:c>
    </x:row>
    <x:row r="5" ht="42" hidden="0" customHeight="1">
      <x:c r="A5" s="10">
        <x:v>4</x:v>
      </x:c>
      <x:c r="B5" s="8">
        <x:v>1</x:v>
      </x:c>
      <x:c r="C5" s="8" t="s">
        <x:v>23</x:v>
      </x:c>
      <x:c r="D5" s="2" t="s">
        <x:v>41</x:v>
      </x:c>
      <x:c r="E5" s="2" t="s">
        <x:v>42</x:v>
      </x:c>
      <x:c r="F5" s="2" t="s">
        <x:v>43</x:v>
      </x:c>
      <x:c r="G5" s="2" t="s">
        <x:v>44</x:v>
      </x:c>
      <x:c r="H5" s="12">
        <x:v>46181</x:v>
      </x:c>
      <x:c r="I5" s="10">
        <x:f t="shared" si="0"/>
        <x:v>0</x:v>
      </x:c>
      <x:c r="J5" s="13" t="s">
        <x:v>45</x:v>
      </x:c>
      <x:c r="K5" s="2" t="str">
        <x:v>グループ公式HPあり・西明石院の独立情報は限定的</x:v>
      </x:c>
      <x:c r="L5" s="2" t="str">
        <x:v>グループ本部または公式窓口を確認</x:v>
      </x:c>
      <x:c r="M5" s="2" t="s">
        <x:v>29</x:v>
      </x:c>
      <x:c r="N5" s="4" t="str">
        <x:v>2026年6月8日開院。JR西明石駅前、平日9時〜20時、土祝8時〜17時、日曜休診。大阪・明石で複数院を展開し、肩腰膝、スポーツ障害、産後骨盤矯正等を案内。</x:v>
      </x:c>
      <x:c r="O5" s="4" t="str">
        <x:v>グループの信頼感を保ちながら、西明石院固有のスタッフ・施術・料金・アクセス・予約情報を検索できる店舗ページとGoogleマップ導線を整備。</x:v>
      </x:c>
      <x:c r="P5" s="25" t="str">
        <x:v>件名：【with.鍼灸整骨院 西明石院様】新院の地域検索・予約導線について
with.鍼灸整骨院 西明石院
ご担当者様
突然のご連絡失礼いたします。
整骨院・接骨院・鍼灸院専門のWeb制作・集客支援を行っております、WEBBRIOの柴藤と申します。
公開情報で、2026年6月8日にJR西明石駅前で開院され、平日20時まで、土曜・祝日も受付されていることを拝見しました。グループとして複数院を展開され、肩・腰・膝の不調からスポーツ障害、産後の骨盤矯正まで幅広く対応されている一方、西明石院固有の情報は検索上まだ限られています。
そのうえで、私であれば次のような形でお手伝いできます。
・西明石院のスタッフ・施術・料金・院内写真をまとめた専用店舗ページ
・『西明石駅 整骨院』など地域検索に合わせたGoogleマップとページの整備
・グループサイトから西明石院の予約先へ迷わず進めるスマホ導線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5" s="25" t="s">
        <x:v>46</x:v>
      </x:c>
      <x:c r="R5" s="3"/>
      <x:c r="S5" s="3" t="str">
        <x:f t="shared" si="1"/>
      </x:c>
      <x:c r="T5" s="10">
        <x:v>0</x:v>
      </x:c>
      <x:c r="U5" s="10" t="s">
        <x:v>31</x:v>
      </x:c>
      <x:c r="V5" s="10" t="s">
        <x:v>32</x:v>
      </x:c>
      <x:c r="W5" s="4" t="str">
        <x:v>2026-07-15再調査。グループ公式HPあり。西明石院ページの有無と本部の営業受付方針を確認。</x:v>
      </x:c>
      <x:c r="X5" s="4" t="str">
        <x:v>https://with-seikotsuin.com/
https://akashi-journal.com/openclose/with-seikotsuin-nishiakashi/</x:v>
      </x:c>
    </x:row>
    <x:row r="6" ht="42" hidden="0" customHeight="1">
      <x:c r="A6" s="10">
        <x:v>5</x:v>
      </x:c>
      <x:c r="B6" s="8">
        <x:v>1</x:v>
      </x:c>
      <x:c r="C6" s="8" t="s">
        <x:v>23</x:v>
      </x:c>
      <x:c r="D6" s="2" t="s">
        <x:v>47</x:v>
      </x:c>
      <x:c r="E6" s="2" t="s">
        <x:v>48</x:v>
      </x:c>
      <x:c r="F6" s="2" t="s">
        <x:v>49</x:v>
      </x:c>
      <x:c r="G6" s="2" t="s">
        <x:v>50</x:v>
      </x:c>
      <x:c r="H6" s="12">
        <x:v>46113</x:v>
      </x:c>
      <x:c r="I6" s="10">
        <x:f t="shared" si="0"/>
        <x:v>3</x:v>
      </x:c>
      <x:c r="J6" s="13" t="s">
        <x:v>45</x:v>
      </x:c>
      <x:c r="K6" s="2" t="str">
        <x:v>自治体・電話帳掲載のみ確認、独自HP未確認</x:v>
      </x:c>
      <x:c r="L6" s="2" t="str">
        <x:v>公開された適切な連絡窓口を要確認</x:v>
      </x:c>
      <x:c r="M6" s="2" t="s">
        <x:v>29</x:v>
      </x:c>
      <x:c r="N6" s="4" t="str">
        <x:v>広島市の公表資料で2026年4月1日に伴東で鍼灸・柔道整復の開設届を確認。施設情報は自治体資料と電話帳掲載が中心。</x:v>
      </x:c>
      <x:c r="O6" s="4" t="str">
        <x:v>院の方針、鍼灸と接骨の対象、料金、初回案内、予約方法をまとめる小規模公式サイトとGoogleビジネスプロフィールを初期整備。</x:v>
      </x:c>
      <x:c r="P6" s="25" t="str">
        <x:v>件名：【がいし鍼灸院・接骨院様】開院後の基本情報と予約導線の整備について
がいし鍼灸院・接骨院
ご担当者様
突然のご連絡失礼いたします。
整骨院・接骨院・鍼灸院専門のWeb制作・集客支援を行っております、WEBBRIOの柴藤と申します。
広島市の公表資料で、2026年4月1日に伴東で鍼灸と柔道整復の開設届を出されていることを確認しました。現時点の公開検索では、所在地以外に施術方針・受付時間・料金・予約方法をまとめて確認できる独自サイトは見つけられませんでした。
そのうえで、私であれば次のような形でお手伝いできます。
・院長先生の考え、鍼灸と接骨の使い分け、初回の流れを伝える基本サイト
・営業時間・料金・予約方法・駐車場など来院前に必要な情報の整理
・Googleビジネスプロフィールと公式サイトを連携した伴東周辺の検索対策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6" s="25" t="s">
        <x:v>51</x:v>
      </x:c>
      <x:c r="R6" s="3"/>
      <x:c r="S6" s="3" t="str">
        <x:f t="shared" si="1"/>
      </x:c>
      <x:c r="T6" s="10">
        <x:v>0</x:v>
      </x:c>
      <x:c r="U6" s="10" t="s">
        <x:v>31</x:v>
      </x:c>
      <x:c r="V6" s="10" t="s">
        <x:v>32</x:v>
      </x:c>
      <x:c r="W6" s="4" t="str">
        <x:v>2026-07-15再調査。公開情報が限定的。営業利用可能な連絡先と実際の開院状況を確認後に送信。</x:v>
      </x:c>
      <x:c r="X6" s="4" t="str">
        <x:v>https://www.city.hiroshima.lg.jp/_res/projects/default_project/_page_/001/020/223/r804.pdf
https://itp.ne.jp/zenkoku/hiroshima/hiroshimashi-asaminamiku/tomohigashi/iryo-kaigo/herusukea/sekkotsu-judoseifuku/sekkotsujuudouseifuku/520000445044520001</x:v>
      </x:c>
    </x:row>
    <x:row r="7" ht="42" hidden="0" customHeight="1">
      <x:c r="A7" s="10">
        <x:v>6</x:v>
      </x:c>
      <x:c r="B7" s="8">
        <x:v>1</x:v>
      </x:c>
      <x:c r="C7" s="8" t="s">
        <x:v>23</x:v>
      </x:c>
      <x:c r="D7" s="2" t="s">
        <x:v>52</x:v>
      </x:c>
      <x:c r="E7" s="2" t="s">
        <x:v>48</x:v>
      </x:c>
      <x:c r="F7" s="2" t="s">
        <x:v>49</x:v>
      </x:c>
      <x:c r="G7" s="2" t="s">
        <x:v>53</x:v>
      </x:c>
      <x:c r="H7" s="12">
        <x:v>46113</x:v>
      </x:c>
      <x:c r="I7" s="10">
        <x:f t="shared" si="0"/>
        <x:v>3</x:v>
      </x:c>
      <x:c r="J7" s="13" t="s">
        <x:v>45</x:v>
      </x:c>
      <x:c r="K7" s="2" t="str">
        <x:v>既存院の移転可能性あり・独自HP未確認</x:v>
      </x:c>
      <x:c r="L7" s="2" t="str">
        <x:v>既存公開番号あり（営業電話は避け、適切な窓口を確認）</x:v>
      </x:c>
      <x:c r="M7" s="2" t="s">
        <x:v>29</x:v>
      </x:c>
      <x:c r="N7" s="4" t="str">
        <x:v>2019年以前から上安2-4-43での掲載と電話番号があり、2026年4月1日に上安2-16-18-101で開設届。新規開業ではなく移転・住所変更の可能性が高い。</x:v>
      </x:c>
      <x:c r="O7" s="4" t="str">
        <x:v>旧住所と新住所の混在解消、Googleマップ・各ポータルのNAP統一、移転案内、施術内容・予約窓口をまとめる公式ページを提案。</x:v>
      </x:c>
      <x:c r="P7" s="25" t="str">
        <x:v>件名：【ひさもり鍼灸・整骨院様】移転後の住所情報とWeb表示の整備について
ひさもり鍼灸・整骨院
ご担当者様
突然のご連絡失礼いたします。
整骨院・接骨院・鍼灸院専門のWeb制作・集客支援を行っております、WEBBRIOの柴藤と申します。
公開情報を確認したところ、以前から上安2丁目で営業されていた掲載と、2026年4月1日付で上安2-16-18-101に出された開設届があり、新規開院というより移転・住所変更の可能性が高いと認識しています。検索結果には旧住所の情報も残っており、患者様が来院時に迷うリスクがあります。
そのうえで、私であれば次のような形でお手伝いできます。
・Googleマップ・電話帳・各掲載サイトの院名、住所、電話番号の統一
・旧住所から新住所への移転案内と、検索結果に残る情報の整理
・施術内容・受付時間・予約方法を一か所で確認できる公式ページ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7" s="25" t="s">
        <x:v>54</x:v>
      </x:c>
      <x:c r="R7" s="3"/>
      <x:c r="S7" s="3" t="str">
        <x:f t="shared" si="1"/>
      </x:c>
      <x:c r="T7" s="10">
        <x:v>0</x:v>
      </x:c>
      <x:c r="U7" s="10" t="s">
        <x:v>31</x:v>
      </x:c>
      <x:c r="V7" s="10" t="s">
        <x:v>32</x:v>
      </x:c>
      <x:c r="W7" s="4" t="str">
        <x:v>2026-07-15再調査。移転の可能性が高い。公開番号への営業電話は避け、適切な連絡窓口を確認。</x:v>
      </x:c>
      <x:c r="X7" s="4" t="str">
        <x:v>https://www.city.hiroshima.lg.jp/_res/projects/default_project/_page_/001/020/223/r804.pdf
https://www.mapion.co.jp/phonebook/M09010/34105/23430488673/
https://kouseikyoku.mhlw.go.jp/chugokushikoku/000419939.pdf</x:v>
      </x:c>
    </x:row>
    <x:row r="8" ht="42" hidden="0" customHeight="1">
      <x:c r="A8" s="10">
        <x:v>7</x:v>
      </x:c>
      <x:c r="B8" s="8">
        <x:v>1</x:v>
      </x:c>
      <x:c r="C8" s="8" t="s">
        <x:v>23</x:v>
      </x:c>
      <x:c r="D8" s="2" t="s">
        <x:v>55</x:v>
      </x:c>
      <x:c r="E8" s="2" t="s">
        <x:v>48</x:v>
      </x:c>
      <x:c r="F8" s="2" t="s">
        <x:v>56</x:v>
      </x:c>
      <x:c r="G8" s="2" t="s">
        <x:v>57</x:v>
      </x:c>
      <x:c r="H8" s="12">
        <x:v>46139</x:v>
      </x:c>
      <x:c r="I8" s="10">
        <x:f t="shared" si="0"/>
        <x:v>2</x:v>
      </x:c>
      <x:c r="J8" s="13" t="s">
        <x:v>45</x:v>
      </x:c>
      <x:c r="K8" s="2" t="str">
        <x:v>公式HPあり（電話予約・情報発信あり）</x:v>
      </x:c>
      <x:c r="L8" s="2" t="str">
        <x:v>公式サイトの営業連絡方針を確認</x:v>
      </x:c>
      <x:c r="M8" s="2" t="s">
        <x:v>29</x:v>
      </x:c>
      <x:c r="N8" s="4" t="str">
        <x:v>牛田本町で接骨・鍼灸に対応。保険・保険外施術、物療、美容や幅広い悩みを案内。電話予約、駐車場1台、コラム更新、施術の流れを掲載済み。</x:v>
      </x:c>
      <x:c r="O8" s="4" t="str">
        <x:v>新規制作ではなく、症状別ページの検索設計、予約導線の整理、コラムの地域SEO活用、Googleマップ・計測環境の改善を提案。</x:v>
      </x:c>
      <x:c r="P8" s="25" t="str">
        <x:v>件名：【なぎさ接骨院・鍼灸院様】現在の情報発信を予約につなげるWeb改善のご提案
なぎさ接骨院・鍼灸院
ご担当者様
突然のご連絡失礼いたします。
整骨院・接骨院・鍼灸院専門のWeb制作・集客支援を行っております、WEBBRIOの柴藤と申します。
公式サイトを拝見し、保険・保険外施術、物療、鍼灸、美容や幅広いお悩みへの対応、施術の流れ、駐車場、電話予約まで丁寧に掲載されていることを確認しました。また、健康や症例に関するコラムも継続して更新されており、既に発信の土台があります。
そのうえで、私であれば次のような形でお手伝いできます。
・既存コラムを症状別ページへ整理し、牛田周辺の検索流入を増やす設計
・接骨・鍼灸・美容の入口を分け、希望する施術と予約方法を見つけやすく改善
・Googleマップとサイトのアクセス解析を整え、問い合わせにつながるページを可視化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8" s="25" t="s">
        <x:v>58</x:v>
      </x:c>
      <x:c r="R8" s="3"/>
      <x:c r="S8" s="3" t="str">
        <x:f t="shared" si="1"/>
      </x:c>
      <x:c r="T8" s="10">
        <x:v>0</x:v>
      </x:c>
      <x:c r="U8" s="10" t="s">
        <x:v>31</x:v>
      </x:c>
      <x:c r="V8" s="10" t="s">
        <x:v>32</x:v>
      </x:c>
      <x:c r="W8" s="4" t="str">
        <x:v>2026-07-15再調査で公式HPを確認。新規HP制作ではなく改善提案。営業連絡可否を事前確認。</x:v>
      </x:c>
      <x:c r="X8" s="4" t="str">
        <x:v>https://nagisasekkotsuin.jp/
https://www.city.hiroshima.lg.jp/_res/projects/default_project/_page_/001/020/223/r804.pdf</x:v>
      </x:c>
    </x:row>
    <x:row r="9" ht="42" hidden="0" customHeight="1">
      <x:c r="A9" s="10">
        <x:v>8</x:v>
      </x:c>
      <x:c r="B9" s="8">
        <x:v>1</x:v>
      </x:c>
      <x:c r="C9" s="8" t="s">
        <x:v>23</x:v>
      </x:c>
      <x:c r="D9" s="2" t="s">
        <x:v>59</x:v>
      </x:c>
      <x:c r="E9" s="2" t="s">
        <x:v>48</x:v>
      </x:c>
      <x:c r="F9" s="2" t="s">
        <x:v>49</x:v>
      </x:c>
      <x:c r="G9" s="2" t="s">
        <x:v>60</x:v>
      </x:c>
      <x:c r="H9" s="12">
        <x:v>46078</x:v>
      </x:c>
      <x:c r="I9" s="10">
        <x:f t="shared" si="0"/>
        <x:v>4</x:v>
      </x:c>
      <x:c r="J9" s="13" t="s">
        <x:v>45</x:v>
      </x:c>
      <x:c r="K9" s="2" t="str">
        <x:v>自治体資料以外の独自情報・公式HPを確認できず</x:v>
      </x:c>
      <x:c r="L9" s="2" t="str">
        <x:v>公開された適切な連絡窓口を要確認</x:v>
      </x:c>
      <x:c r="M9" s="2" t="s">
        <x:v>29</x:v>
      </x:c>
      <x:c r="N9" s="4" t="str">
        <x:v>広島市の公表資料で2026年2月25日に毘沙門台で柔道整復の開設届を確認。院の施術内容・受付時間・料金・予約方法を示す公式情報は未確認。</x:v>
      </x:c>
      <x:c r="O9" s="4" t="str">
        <x:v>柔道整復の対象、院長紹介、初回案内、受付時間、アクセスを掲載する基本サイトとGoogleマップを整備し、毘沙門台周辺の検索に対応。</x:v>
      </x:c>
      <x:c r="P9" s="25" t="str">
        <x:v>件名：【みやび整骨院様】毘沙門台での検索と来院案内を整えるご提案
みやび整骨院
ご担当者様
突然のご連絡失礼いたします。
整骨院・接骨院・鍼灸院専門のWeb制作・集客支援を行っております、WEBBRIOの柴藤と申します。
広島市の公表資料で、2026年2月25日に毘沙門台で柔道整復の開設届を出されていることを確認しました。一方、現時点の公開検索では、施術内容・受付時間・料金・予約方法などを患者様がまとめて確認できる公式情報は見つけられませんでした。
そのうえで、私であれば次のような形でお手伝いできます。
・対応できる症状、院長紹介、料金、初回の流れをまとめた基本サイト
・毘沙門台周辺で検索した方に院の場所と特徴を伝える地域SEO
・Googleマップから電話・問い合わせへ迷わず進めるスマホ導線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9" s="25" t="s">
        <x:v>61</x:v>
      </x:c>
      <x:c r="R9" s="3"/>
      <x:c r="S9" s="3" t="str">
        <x:f t="shared" si="1"/>
      </x:c>
      <x:c r="T9" s="10">
        <x:v>0</x:v>
      </x:c>
      <x:c r="U9" s="10" t="s">
        <x:v>31</x:v>
      </x:c>
      <x:c r="V9" s="10" t="s">
        <x:v>32</x:v>
      </x:c>
      <x:c r="W9" s="4" t="str">
        <x:v>2026-07-15再調査。公開情報が自治体資料中心。開院実態と営業利用可能な連絡先を確認後に送信。</x:v>
      </x:c>
      <x:c r="X9" s="4" t="str">
        <x:v>https://www.city.hiroshima.lg.jp/_res/projects/default_project/_page_/001/020/223/r802.pdf</x:v>
      </x:c>
    </x:row>
    <x:row r="10" ht="42" hidden="0" customHeight="1">
      <x:c r="A10" s="10">
        <x:v>9</x:v>
      </x:c>
      <x:c r="B10" s="8">
        <x:v>1</x:v>
      </x:c>
      <x:c r="C10" s="8" t="s">
        <x:v>23</x:v>
      </x:c>
      <x:c r="D10" s="2" t="s">
        <x:v>62</x:v>
      </x:c>
      <x:c r="E10" s="2" t="s">
        <x:v>48</x:v>
      </x:c>
      <x:c r="F10" s="2" t="s">
        <x:v>63</x:v>
      </x:c>
      <x:c r="G10" s="2" t="s">
        <x:v>64</x:v>
      </x:c>
      <x:c r="H10" s="12">
        <x:v>46073</x:v>
      </x:c>
      <x:c r="I10" s="10">
        <x:f t="shared" si="0"/>
        <x:v>4</x:v>
      </x:c>
      <x:c r="J10" s="13" t="s">
        <x:v>45</x:v>
      </x:c>
      <x:c r="K10" s="2" t="str">
        <x:v>公式HPあり（LINE・Hot Pepperで24時間予約）</x:v>
      </x:c>
      <x:c r="L10" s="2" t="str">
        <x:v>運営会社または公式サイトの営業窓口を確認</x:v>
      </x:c>
      <x:c r="M10" s="2" t="s">
        <x:v>29</x:v>
      </x:c>
      <x:c r="N10" s="4" t="str">
        <x:v>AI姿勢診断、姿勢矯正・深層筋調整、交通事故、産後ケア等を訴求。LINE・Hot Pepperで24時間予約、駐車場6台、土日祝も受付。</x:v>
      </x:c>
      <x:c r="O10" s="4" t="str">
        <x:v>新規制作ではなく、既存サイトの予約計測、症状別SEO、Googleマップ、ページ速度・スマホ導線、広告流入の改善を提案。</x:v>
      </x:c>
      <x:c r="P10" s="25" t="str">
        <x:v>件名：【ひろがる接骨院・鍼灸院様】既存サイトの予約計測と地域SEO改善について
ひろがる接骨院・鍼灸院 広島スタジアム前院
ご担当者様
突然のご連絡失礼いたします。
整骨院・接骨院・鍼灸院専門のWeb制作・集客支援を行っております、WEBBRIOの柴藤と申します。
公式サイトを拝見し、AI姿勢診断、姿勢矯正と深層筋調整、交通事故や産後ケア、LINE・Hot Pepperからの24時間予約、駐車場6台、土日祝の受付まで充実した情報を確認しました。すでに制作土台は整っているため、新規サイトよりも『どの検索やページが予約につながったか』を改善する段階だと感じています。
そのうえで、私であれば次のような形でお手伝いできます。
・LINE・Hot Pepper・電話の予約導線ごとのクリック計測
・腰痛・姿勢・交通事故・産後など症状別ページの地域SEO改善
・Googleマップ、広告、公式サイトを横断した流入と予約率の見える化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10" s="25" t="s">
        <x:v>65</x:v>
      </x:c>
      <x:c r="R10" s="3"/>
      <x:c r="S10" s="3" t="str">
        <x:f t="shared" si="1"/>
      </x:c>
      <x:c r="T10" s="10">
        <x:v>0</x:v>
      </x:c>
      <x:c r="U10" s="10" t="s">
        <x:v>31</x:v>
      </x:c>
      <x:c r="V10" s="10" t="s">
        <x:v>32</x:v>
      </x:c>
      <x:c r="W10" s="4" t="str">
        <x:v>2026-07-15再調査で充実した公式HPを確認。新規制作対象外。改善提案は運営会社の営業窓口へ。</x:v>
      </x:c>
      <x:c r="X10" s="4" t="str">
        <x:v>https://hirogaru-hiroshima.com/
https://hirogaru-hiroshima.com/access/
https://www.city.hiroshima.lg.jp/_res/projects/default_project/_page_/001/020/223/r802.pdf</x:v>
      </x:c>
    </x:row>
    <x:row r="11" ht="42" hidden="0" customHeight="1">
      <x:c r="A11" s="11">
        <x:v>10</x:v>
      </x:c>
      <x:c r="B11" s="9">
        <x:v>1</x:v>
      </x:c>
      <x:c r="C11" s="9" t="s">
        <x:v>23</x:v>
      </x:c>
      <x:c r="D11" s="5" t="s">
        <x:v>66</x:v>
      </x:c>
      <x:c r="E11" s="5" t="s">
        <x:v>48</x:v>
      </x:c>
      <x:c r="F11" s="5" t="s">
        <x:v>67</x:v>
      </x:c>
      <x:c r="G11" s="5" t="s">
        <x:v>68</x:v>
      </x:c>
      <x:c r="H11" s="14">
        <x:v>46027</x:v>
      </x:c>
      <x:c r="I11" s="11">
        <x:f t="shared" si="0"/>
        <x:v>5</x:v>
      </x:c>
      <x:c r="J11" s="15" t="s">
        <x:v>69</x:v>
      </x:c>
      <x:c r="K11" s="5" t="str">
        <x:v>旧住所情報が混在・独自HP未確認</x:v>
      </x:c>
      <x:c r="L11" s="5" t="str">
        <x:v>営業・勧誘電話禁止の掲載あり。メール等の適切な窓口未確認</x:v>
      </x:c>
      <x:c r="M11" s="5" t="s">
        <x:v>29</x:v>
      </x:c>
      <x:c r="N11" s="7" t="str">
        <x:v>以前から鶴見町12-18での掲載があり、2026年1月5日に鶴見町11-8-606で開設届。移転・住所変更の可能性が高く、旧住所と新住所が検索上で混在。</x:v>
      </x:c>
      <x:c r="O11" s="7" t="str">
        <x:v>新旧住所の整理、Googleマップ・電話帳のNAP統一、移転告知、公式ページの整備を提案。ただし営業窓口未確認のため送信非推奨。</x:v>
      </x:c>
      <x:c r="P11" s="26" t="str">
        <x:v>件名：【ヤマニシ鍼灸整骨院様】Web上の新旧住所情報の整理について
ヤマニシ鍼灸整骨院（鶴見町新所在地）
ご担当者様
突然のご連絡失礼いたします。
整骨院・接骨院・鍼灸院専門のWeb制作・集客支援を行っております、WEBBRIOの柴藤と申します。
公開情報を確認したところ、従来の鶴見町12-18という掲載と、2026年1月5日付の鶴見町11-8-606での開設届があり、移転または住所変更の可能性が高いと認識しています。検索結果に新旧住所が混在すると、患者様が誤った場所へ向かうおそれがあります。
そのうえで、私であれば次のような形でお手伝いできます。
・Googleマップ・電話帳・掲載サイトに残る新旧住所と電話番号の整理
・移転案内と現在地を正確に伝える公式ページの作成
・院名・住所・電話番号を統一し、地域検索で正しい情報を表示する整備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11" s="26" t="s">
        <x:v>70</x:v>
      </x:c>
      <x:c r="R11" s="6"/>
      <x:c r="S11" s="6" t="str">
        <x:f t="shared" si="1"/>
      </x:c>
      <x:c r="T11" s="11">
        <x:v>0</x:v>
      </x:c>
      <x:c r="U11" s="11" t="s">
        <x:v>31</x:v>
      </x:c>
      <x:c r="V11" s="11" t="str">
        <x:v>はい</x:v>
      </x:c>
      <x:c r="W11" s="7" t="str">
        <x:v>2026-07-15再調査。営業・勧誘電話お断りの掲載あり。公開メール未確認のため、適切な営業窓口が確認できるまで送信しない。</x:v>
      </x:c>
      <x:c r="X11" s="7" t="str">
        <x:v>https://www.city.hiroshima.lg.jp/_res/projects/default_project/_page_/001/020/223/r801.pdf
https://kenkounihari.seirin.jp/clinic/4583
https://www.jusei.gr.jp/34096800/</x:v>
      </x:c>
    </x:row>
  </x:sheetData>
  <x:dataValidations count="3">
    <x:dataValidation type="list" sqref="U2:U200">
      <x:formula1>"未送信,下書き済み,送信済み,返信あり,商談中,成約,見送り"</x:formula1>
    </x:dataValidation>
    <x:dataValidation type="list" sqref="V2:V200">
      <x:formula1>"いいえ,はい"</x:formula1>
    </x:dataValidation>
    <x:dataValidation type="whole" sqref="T2:T200">
      <x:formula1>0</x:formula1>
      <x:formula2>2</x:formula2>
    </x:dataValidation>
  </x:dataValidations>
  <x:pageMargins left="0.7" right="0.7" top="0.75" bottom="0.75" header="0.3" footer="0.3"/>
  <x:tableParts count="1">
    <x:tablePart xmlns:r="http://schemas.openxmlformats.org/officeDocument/2006/relationships" r:id="R7e7e252e52bd41e7"/>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2" width="90" customWidth="1"/>
  </x:cols>
  <x:sheetData>
    <x:row r="1" ht="34" customHeight="1">
      <x:c r="A1" s="22" t="s">
        <x:v>71</x:v>
      </x:c>
      <x:c r="B1" s="22"/>
      <x:c r="C1" s="22"/>
      <x:c r="D1" s="22"/>
      <x:c r="E1" s="22"/>
      <x:c r="F1" s="22"/>
    </x:row>
    <x:row r="3" ht="15">
      <x:c r="A3" s="16" t="s">
        <x:v>72</x:v>
      </x:c>
      <x:c r="B3" s="16" t="s">
        <x:v>73</x:v>
      </x:c>
    </x:row>
    <x:row r="4" ht="42" customHeight="1">
      <x:c r="A4" s="17" t="s">
        <x:v>74</x:v>
      </x:c>
      <x:c r="B4" s="17" t="s">
        <x:v>75</x:v>
      </x:c>
    </x:row>
    <x:row r="5" ht="42" customHeight="1">
      <x:c r="A5" s="17" t="s">
        <x:v>76</x:v>
      </x:c>
      <x:c r="B5" s="17" t="s">
        <x:v>77</x:v>
      </x:c>
    </x:row>
    <x:row r="6" ht="42" customHeight="1">
      <x:c r="A6" s="17" t="s">
        <x:v>78</x:v>
      </x:c>
      <x:c r="B6" s="17" t="s">
        <x:v>79</x:v>
      </x:c>
    </x:row>
    <x:row r="7" ht="42" customHeight="1">
      <x:c r="A7" s="17" t="s">
        <x:v>18</x:v>
      </x:c>
      <x:c r="B7" s="17" t="s">
        <x:v>80</x:v>
      </x:c>
    </x:row>
    <x:row r="8" ht="42" customHeight="1">
      <x:c r="A8" s="17" t="s">
        <x:v>20</x:v>
      </x:c>
      <x:c r="B8" s="17" t="s">
        <x:v>81</x:v>
      </x:c>
    </x:row>
    <x:row r="9" ht="42" customHeight="1">
      <x:c r="A9" s="17" t="s">
        <x:v>82</x:v>
      </x:c>
      <x:c r="B9" s="17" t="s">
        <x:v>83</x:v>
      </x:c>
    </x:row>
    <x:row r="10" ht="42" customHeight="1">
      <x:c r="A10" s="17" t="s">
        <x:v>84</x:v>
      </x:c>
      <x:c r="B10" s="17" t="s">
        <x:v>85</x:v>
      </x:c>
    </x:row>
    <x:row r="11" ht="42" customHeight="1">
      <x:c r="A11" s="17" t="s">
        <x:v>86</x:v>
      </x:c>
      <x:c r="B11" s="17" t="s">
        <x:v>87</x:v>
      </x:c>
    </x:row>
    <x:row r="12" ht="42" customHeight="1">
      <x:c r="A12" s="18" t="s">
        <x:v>88</x:v>
      </x:c>
      <x:c r="B12" s="18" t="s">
        <x:v>89</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7" customWidth="1"/>
    <x:col min="2" max="2" width="36" customWidth="1"/>
    <x:col min="3" max="3" width="14" customWidth="1"/>
    <x:col min="4" max="4" width="24" customWidth="1"/>
    <x:col min="5" max="5" width="72" customWidth="1"/>
    <x:col min="6" max="7" width="38" customWidth="1"/>
  </x:cols>
  <x:sheetData>
    <x:row r="1" ht="16">
      <x:c r="A1" s="19" t="s">
        <x:v>0</x:v>
      </x:c>
      <x:c r="B1" s="19" t="s">
        <x:v>3</x:v>
      </x:c>
      <x:c r="C1" s="19" t="s">
        <x:v>7</x:v>
      </x:c>
      <x:c r="D1" s="19" t="s">
        <x:v>90</x:v>
      </x:c>
      <x:c r="E1" s="19" t="s">
        <x:v>22</x:v>
      </x:c>
      <x:c r="F1" s="19" t="s">
        <x:v>91</x:v>
      </x:c>
      <x:c r="G1" s="19" t="s">
        <x:v>92</x:v>
      </x:c>
    </x:row>
    <x:row r="2" ht="54" customHeight="1">
      <x:c r="A2" s="17">
        <x:v>1</x:v>
      </x:c>
      <x:c r="B2" s="17" t="s">
        <x:v>24</x:v>
      </x:c>
      <x:c r="C2" s="20">
        <x:v>46146</x:v>
      </x:c>
      <x:c r="D2" s="17" t="s">
        <x:v>93</x:v>
      </x:c>
      <x:c r="E2" s="28" t="str">
        <x:v>https://www.neyagawa-np.jp/open-close/saiki-20260507.html
https://www.hira2.jp/open-close/saikisports-20260427.html</x:v>
      </x:c>
      <x:c r="F2" s="28" t="str">
        <x:v>独自HP未確認（Instagram・LINE中心）</x:v>
      </x:c>
      <x:c r="G2" s="28" t="str">
        <x:v>2026-07-15再調査。独自HPは確認できず。Instagram・LINEの営業利用可否を送信直前に確認。</x:v>
      </x:c>
    </x:row>
    <x:row r="3" ht="54" customHeight="1">
      <x:c r="A3" s="17">
        <x:v>2</x:v>
      </x:c>
      <x:c r="B3" s="17" t="s">
        <x:v>33</x:v>
      </x:c>
      <x:c r="C3" s="20"/>
      <x:c r="D3" s="17" t="s">
        <x:v>93</x:v>
      </x:c>
      <x:c r="E3" s="28" t="str">
        <x:v>https://www.ekiten.jp/shop_70252717/
https://online.peakmanager.com/w7d4k9</x:v>
      </x:c>
      <x:c r="F3" s="28" t="str">
        <x:v>独自HP未確認（エキテン・予約アプリ中心）</x:v>
      </x:c>
      <x:c r="G3" s="28" t="str">
        <x:v>2026-07-15再調査。開業日の確定と公開連絡先の営業利用可否を確認してから送信。</x:v>
      </x:c>
    </x:row>
    <x:row r="4" ht="54" customHeight="1">
      <x:c r="A4" s="17">
        <x:v>3</x:v>
      </x:c>
      <x:c r="B4" s="17" t="s">
        <x:v>38</x:v>
      </x:c>
      <x:c r="C4" s="20">
        <x:v>46174</x:v>
      </x:c>
      <x:c r="D4" s="17" t="s">
        <x:v>93</x:v>
      </x:c>
      <x:c r="E4" s="28" t="str">
        <x:v>https://korien-seikotsu.com/
https://neyagawa.goguynet.jp/2026/06/08/taiju_seikotsu/</x:v>
      </x:c>
      <x:c r="F4" s="28" t="str">
        <x:v>公式HPあり（電話・LINE予約対応）</x:v>
      </x:c>
      <x:c r="G4" s="28" t="str">
        <x:v>2026-07-15再調査で公式HPを確認。新規HP制作ではなく改善提案。営業連絡可否を事前確認。</x:v>
      </x:c>
    </x:row>
    <x:row r="5" ht="54" customHeight="1">
      <x:c r="A5" s="17">
        <x:v>4</x:v>
      </x:c>
      <x:c r="B5" s="17" t="s">
        <x:v>41</x:v>
      </x:c>
      <x:c r="C5" s="20">
        <x:v>46181</x:v>
      </x:c>
      <x:c r="D5" s="17" t="s">
        <x:v>93</x:v>
      </x:c>
      <x:c r="E5" s="28" t="str">
        <x:v>https://with-seikotsuin.com/
https://akashi-journal.com/openclose/with-seikotsuin-nishiakashi/</x:v>
      </x:c>
      <x:c r="F5" s="28" t="str">
        <x:v>グループ公式HPあり・西明石院の独立情報は限定的</x:v>
      </x:c>
      <x:c r="G5" s="28" t="str">
        <x:v>2026-07-15再調査。グループ公式HPあり。西明石院ページの有無と本部の営業受付方針を確認。</x:v>
      </x:c>
    </x:row>
    <x:row r="6" ht="54" customHeight="1">
      <x:c r="A6" s="17">
        <x:v>5</x:v>
      </x:c>
      <x:c r="B6" s="17" t="s">
        <x:v>47</x:v>
      </x:c>
      <x:c r="C6" s="20">
        <x:v>46113</x:v>
      </x:c>
      <x:c r="D6" s="17" t="s">
        <x:v>94</x:v>
      </x:c>
      <x:c r="E6" s="28" t="str">
        <x:v>https://www.city.hiroshima.lg.jp/_res/projects/default_project/_page_/001/020/223/r804.pdf
https://itp.ne.jp/zenkoku/hiroshima/hiroshimashi-asaminamiku/tomohigashi/iryo-kaigo/herusukea/sekkotsu-judoseifuku/sekkotsujuudouseifuku/520000445044520001</x:v>
      </x:c>
      <x:c r="F6" s="28" t="str">
        <x:v>自治体・電話帳掲載のみ確認、独自HP未確認</x:v>
      </x:c>
      <x:c r="G6" s="28" t="str">
        <x:v>2026-07-15再調査。公開情報が限定的。営業利用可能な連絡先と実際の開院状況を確認後に送信。</x:v>
      </x:c>
    </x:row>
    <x:row r="7" ht="54" customHeight="1">
      <x:c r="A7" s="17">
        <x:v>6</x:v>
      </x:c>
      <x:c r="B7" s="17" t="s">
        <x:v>52</x:v>
      </x:c>
      <x:c r="C7" s="20">
        <x:v>46113</x:v>
      </x:c>
      <x:c r="D7" s="17" t="s">
        <x:v>94</x:v>
      </x:c>
      <x:c r="E7" s="28" t="str">
        <x:v>https://www.city.hiroshima.lg.jp/_res/projects/default_project/_page_/001/020/223/r804.pdf
https://www.mapion.co.jp/phonebook/M09010/34105/23430488673/
https://kouseikyoku.mhlw.go.jp/chugokushikoku/000419939.pdf</x:v>
      </x:c>
      <x:c r="F7" s="28" t="str">
        <x:v>既存院の移転可能性あり・独自HP未確認</x:v>
      </x:c>
      <x:c r="G7" s="28" t="str">
        <x:v>2026-07-15再調査。移転の可能性が高い。公開番号への営業電話は避け、適切な連絡窓口を確認。</x:v>
      </x:c>
    </x:row>
    <x:row r="8" ht="54" customHeight="1">
      <x:c r="A8" s="17">
        <x:v>7</x:v>
      </x:c>
      <x:c r="B8" s="17" t="s">
        <x:v>55</x:v>
      </x:c>
      <x:c r="C8" s="20">
        <x:v>46139</x:v>
      </x:c>
      <x:c r="D8" s="17" t="s">
        <x:v>94</x:v>
      </x:c>
      <x:c r="E8" s="28" t="str">
        <x:v>https://nagisasekkotsuin.jp/
https://www.city.hiroshima.lg.jp/_res/projects/default_project/_page_/001/020/223/r804.pdf</x:v>
      </x:c>
      <x:c r="F8" s="28" t="str">
        <x:v>公式HPあり（電話予約・情報発信あり）</x:v>
      </x:c>
      <x:c r="G8" s="28" t="str">
        <x:v>2026-07-15再調査で公式HPを確認。新規HP制作ではなく改善提案。営業連絡可否を事前確認。</x:v>
      </x:c>
    </x:row>
    <x:row r="9" ht="54" customHeight="1">
      <x:c r="A9" s="17">
        <x:v>8</x:v>
      </x:c>
      <x:c r="B9" s="17" t="s">
        <x:v>59</x:v>
      </x:c>
      <x:c r="C9" s="20">
        <x:v>46078</x:v>
      </x:c>
      <x:c r="D9" s="17" t="s">
        <x:v>94</x:v>
      </x:c>
      <x:c r="E9" s="28" t="str">
        <x:v>https://www.city.hiroshima.lg.jp/_res/projects/default_project/_page_/001/020/223/r802.pdf</x:v>
      </x:c>
      <x:c r="F9" s="28" t="str">
        <x:v>自治体資料以外の独自情報・公式HPを確認できず</x:v>
      </x:c>
      <x:c r="G9" s="28" t="str">
        <x:v>2026-07-15再調査。公開情報が自治体資料中心。開院実態と営業利用可能な連絡先を確認後に送信。</x:v>
      </x:c>
    </x:row>
    <x:row r="10" ht="54" customHeight="1">
      <x:c r="A10" s="17">
        <x:v>9</x:v>
      </x:c>
      <x:c r="B10" s="17" t="s">
        <x:v>62</x:v>
      </x:c>
      <x:c r="C10" s="20">
        <x:v>46073</x:v>
      </x:c>
      <x:c r="D10" s="17" t="s">
        <x:v>94</x:v>
      </x:c>
      <x:c r="E10" s="28" t="str">
        <x:v>https://hirogaru-hiroshima.com/
https://hirogaru-hiroshima.com/access/
https://www.city.hiroshima.lg.jp/_res/projects/default_project/_page_/001/020/223/r802.pdf</x:v>
      </x:c>
      <x:c r="F10" s="28" t="str">
        <x:v>公式HPあり（LINE・Hot Pepperで24時間予約）</x:v>
      </x:c>
      <x:c r="G10" s="28" t="str">
        <x:v>2026-07-15再調査で充実した公式HPを確認。新規制作対象外。改善提案は運営会社の営業窓口へ。</x:v>
      </x:c>
    </x:row>
    <x:row r="11" ht="54" customHeight="1">
      <x:c r="A11" s="18">
        <x:v>10</x:v>
      </x:c>
      <x:c r="B11" s="18" t="s">
        <x:v>66</x:v>
      </x:c>
      <x:c r="C11" s="21">
        <x:v>46027</x:v>
      </x:c>
      <x:c r="D11" s="18" t="s">
        <x:v>94</x:v>
      </x:c>
      <x:c r="E11" s="29" t="str">
        <x:v>https://www.city.hiroshima.lg.jp/_res/projects/default_project/_page_/001/020/223/r801.pdf
https://kenkounihari.seirin.jp/clinic/4583
https://www.jusei.gr.jp/34096800/</x:v>
      </x:c>
      <x:c r="F11" s="29" t="str">
        <x:v>旧住所情報が混在・独自HP未確認</x:v>
      </x:c>
      <x:c r="G11" s="29" t="str">
        <x:v>2026-07-15再調査。営業・勧誘電話お断りの掲載あり。公開メール未確認のため、適切な営業窓口が確認できるまで送信しない。</x:v>
      </x:c>
    </x:row>
  </x:sheetData>
  <x:pageMargins left="0.7" right="0.7" top="0.75" bottom="0.75" header="0.3" footer="0.3"/>
  <x:tableParts count="1">
    <x:tablePart xmlns:r="http://schemas.openxmlformats.org/officeDocument/2006/relationships" r:id="R1334e85d1bf744c4"/>
  </x:tableParts>
</x:worksheet>
</file>