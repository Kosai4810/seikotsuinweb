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kosai/Desktop/整骨院web/seikotsuin-web/outputs/tier1_20260703/"/>
    </mc:Choice>
  </mc:AlternateContent>
  <xr:revisionPtr revIDLastSave="0" documentId="13_ncr:1_{56270BCE-4048-7D43-8DBB-D8422EC00ECD}" xr6:coauthVersionLast="47" xr6:coauthVersionMax="47" xr10:uidLastSave="{00000000-0000-0000-0000-000000000000}"/>
  <bookViews>
    <workbookView xWindow="2120" yWindow="680" windowWidth="29180" windowHeight="16180" xr2:uid="{00000000-000D-0000-FFFF-FFFF00000000}"/>
  </bookViews>
  <sheets>
    <sheet name="ティア1候補" sheetId="1" r:id="rId1"/>
    <sheet name="運用ルール" sheetId="2" r:id="rId2"/>
    <sheet name="調査根拠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I11" i="1"/>
  <c r="S10" i="1"/>
  <c r="I10" i="1"/>
  <c r="S9" i="1"/>
  <c r="I9" i="1"/>
  <c r="S8" i="1"/>
  <c r="I8" i="1"/>
  <c r="S7" i="1"/>
  <c r="I7" i="1"/>
  <c r="S6" i="1"/>
  <c r="I6" i="1"/>
  <c r="S5" i="1"/>
  <c r="I5" i="1"/>
  <c r="S4" i="1"/>
  <c r="I4" i="1"/>
  <c r="S3" i="1"/>
  <c r="I3" i="1"/>
  <c r="S2" i="1"/>
  <c r="I2" i="1"/>
</calcChain>
</file>

<file path=xl/sharedStrings.xml><?xml version="1.0" encoding="utf-8"?>
<sst xmlns="http://schemas.openxmlformats.org/spreadsheetml/2006/main" count="272" uniqueCount="152">
  <si>
    <t>No.</t>
  </si>
  <si>
    <t>ティア</t>
  </si>
  <si>
    <t>HP分類</t>
  </si>
  <si>
    <t>院名</t>
  </si>
  <si>
    <t>都道府県</t>
  </si>
  <si>
    <t>市区町村</t>
  </si>
  <si>
    <t>住所</t>
  </si>
  <si>
    <t>開業・届出日</t>
  </si>
  <si>
    <t>経過月数</t>
  </si>
  <si>
    <t>判定確度</t>
  </si>
  <si>
    <t>Web状況</t>
  </si>
  <si>
    <t>連絡方法</t>
  </si>
  <si>
    <t>メールアドレス</t>
  </si>
  <si>
    <t>確認した特徴</t>
  </si>
  <si>
    <t>提案内容</t>
  </si>
  <si>
    <t>初回メール件名・本文</t>
  </si>
  <si>
    <t>追客メール本文</t>
  </si>
  <si>
    <t>初回送信日</t>
  </si>
  <si>
    <t>追客予定日</t>
  </si>
  <si>
    <t>送信回数</t>
  </si>
  <si>
    <t>返信状況</t>
  </si>
  <si>
    <t>送信禁止</t>
  </si>
  <si>
    <t>判定理由・注意</t>
  </si>
  <si>
    <t>根拠URL</t>
  </si>
  <si>
    <t>C</t>
  </si>
  <si>
    <t>SAIKI整骨院</t>
  </si>
  <si>
    <t>大阪府</t>
  </si>
  <si>
    <t>寝屋川市</t>
  </si>
  <si>
    <t>香里新町15-12</t>
  </si>
  <si>
    <t>高</t>
  </si>
  <si>
    <t>独自HP未確認（Instagram・LINE中心）</t>
  </si>
  <si>
    <t>Instagramまたは公式LINE</t>
  </si>
  <si>
    <t>未確認</t>
  </si>
  <si>
    <t>10時〜22時。施術とトレーニングに対応し、アスリート特化型パーソナルトレーニングも案内。</t>
  </si>
  <si>
    <t>スポーツ外傷・施術・トレーニングを一つに整理した公式HP。競技別ページとLINE予約導線を設置。</t>
  </si>
  <si>
    <t>件名：Re:【SAIKI整骨院様】開院後のWeb集客についてご提案です
SAIKI整骨院
ご担当者様
先日、ホームページ制作についてご連絡したWEBBRIOの柴藤です。
その後ご検討状況はいかがでしょうか。
SAIKI整骨院様向けに、必要なページ構成と予約導線の簡単な案を無料でお作りできます。ご興味がございましたら、このメールへ一言ご返信いただければ対応いたします。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t>
  </si>
  <si>
    <t>未送信</t>
  </si>
  <si>
    <t>いいえ</t>
  </si>
  <si>
    <t>開業・届出から半年未満。独自HPの有無と連絡先を送信直前に再確認。</t>
  </si>
  <si>
    <t>https://www.neyagawa-np.jp/open-close/saiki-20260507.html</t>
  </si>
  <si>
    <t>谷六からほり整骨院</t>
  </si>
  <si>
    <t>大阪市中央区</t>
  </si>
  <si>
    <t>上本町西2丁目4-17</t>
  </si>
  <si>
    <t>低・開業日要確認</t>
  </si>
  <si>
    <t>独自HP未確認（エキテン中心）</t>
  </si>
  <si>
    <t>エキテンのネット予約・電話</t>
  </si>
  <si>
    <t>2026年1月オープン表記。日祝営業、保険施術に加え、もみほぐしや姿勢の悩みにも対応。</t>
  </si>
  <si>
    <t>保険施術と自費施術の違い、料金、初診の流れを公式HPに整理。Googleマップと予約導線を強化。</t>
  </si>
  <si>
    <t>件名：【谷六からほり整骨院様】開院後のWeb集客についてご提案です
谷六からほり整骨院
ご担当者様
突然のご連絡失礼いたします。
整骨院・接骨院専門のホームページ制作サービス「整骨院web」を運営しております、WEBBRIOの柴藤と申します。
公開情報を拝見し、2026年1月オープン表記。日祝営業、保険施術に加え、もみほぐしや姿勢の悩みにも対応。
開院直後の今、施術内容・料金・スタッフ紹介・初診時の流れ・予約方法を一か所にまとめた公式ホームページがあると、GoogleマップやSNSで院を知った方へ安心感を伝えやすくなります。
谷六からほり整骨院様の場合は、保険施術と自費施術の違い、料金、初診の流れを公式HPに整理。Googleマップと予約導線を強化。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ご関心がございましたら、谷六からほり整骨院様向けのページ構成案を無料で作成いたします。
https://seikotsuinweb.com/
不要でしたらご返信は不要です。今後のご案内停止をご希望の場合は、その旨をお知らせください。
WEBBRIO
柴藤 嵩斎</t>
  </si>
  <si>
    <t>件名：Re:【谷六からほり整骨院様】開院後のWeb集客についてご提案です
谷六からほり整骨院
ご担当者様
先日、ホームページ制作についてご連絡したWEBBRIOの柴藤です。
その後ご検討状況はいかがでしょうか。
谷六からほり整骨院様向けに、必要なページ構成と予約導線の簡単な案を無料でお作りできます。ご興味がございましたら、このメールへ一言ご返信いただければ対応いたします。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t>
  </si>
  <si>
    <t>2026年1月オープン表記のみ。具体的な開業日を特定し、半年未満と確認できた場合のみ送信。</t>
  </si>
  <si>
    <t>https://www.ekiten.jp/shop_70252717/</t>
  </si>
  <si>
    <t>香里園たいじゅ整骨院</t>
  </si>
  <si>
    <t>香里新町26-3 香里メディカルビル1F</t>
  </si>
  <si>
    <t>独自HP未確認（Hot Pepper・地域記事中心）</t>
  </si>
  <si>
    <t>院長・副院長ともスポーツ経験があり、最新機器と担当制のオーダーメイド施術を案内。</t>
  </si>
  <si>
    <t>最新機器の特徴、2名の国家資格者、スポーツ対応を公式HPで可視化。症状別ページとLINE予約を設置。</t>
  </si>
  <si>
    <t>件名：Re:【香里園たいじゅ整骨院様】開院後のWeb集客についてご提案です
香里園たいじゅ整骨院
ご担当者様
先日、ホームページ制作についてご連絡したWEBBRIOの柴藤です。
その後ご検討状況はいかがでしょうか。
香里園たいじゅ整骨院様向けに、必要なページ構成と予約導線の簡単な案を無料でお作りできます。ご興味がございましたら、このメールへ一言ご返信いただければ対応いたします。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t>
  </si>
  <si>
    <t>https://neyagawa.goguynet.jp/2026/06/08/taiju_seikotsu/</t>
  </si>
  <si>
    <t>with.鍼灸整骨院 西明石院</t>
  </si>
  <si>
    <t>兵庫県</t>
  </si>
  <si>
    <t>明石市</t>
  </si>
  <si>
    <t>和坂13-5 プラスパ西明石102</t>
  </si>
  <si>
    <t>中</t>
  </si>
  <si>
    <t>院単独HP未確認（Instagram・地域記事中心）</t>
  </si>
  <si>
    <t>公式Instagram</t>
  </si>
  <si>
    <t>西明石駅近く。平日20時まで、土祝も受付。大阪中心の複数院グループの新院。</t>
  </si>
  <si>
    <t>西明石院固有のスタッフ・施術・アクセス情報をまとめた店舗ページ。地域検索と予約導線を強化。</t>
  </si>
  <si>
    <t>件名：【with.鍼灸整骨院 西明石院様】開院後のWeb集客についてご提案です
with.鍼灸整骨院 西明石院
ご担当者様
突然のご連絡失礼いたします。
整骨院・接骨院専門のホームページ制作サービス「整骨院web」を運営しております、WEBBRIOの柴藤と申します。
公開情報を拝見し、西明石駅近く。平日20時まで、土祝も受付。大阪中心の複数院グループの新院。
開院直後の今、施術内容・料金・スタッフ紹介・初診時の流れ・予約方法を一か所にまとめた公式ホームページがあると、GoogleマップやSNSで院を知った方へ安心感を伝えやすくなります。
with.鍼灸整骨院 西明石院様の場合は、西明石院固有のスタッフ・施術・アクセス情報をまとめた店舗ページ。地域検索と予約導線を強化。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ご関心がございましたら、with.鍼灸整骨院 西明石院様向けのページ構成案を無料で作成いたします。
https://seikotsuinweb.com/
不要でしたらご返信は不要です。今後のご案内停止をご希望の場合は、その旨をお知らせください。
WEBBRIO
柴藤 嵩斎</t>
  </si>
  <si>
    <t>件名：Re:【with.鍼灸整骨院 西明石院様】開院後のWeb集客についてご提案です
with.鍼灸整骨院 西明石院
ご担当者様
先日、ホームページ制作についてご連絡したWEBBRIOの柴藤です。
その後ご検討状況はいかがでしょうか。
with.鍼灸整骨院 西明石院様向けに、必要なページ構成と予約導線の簡単な案を無料でお作りできます。ご興味がございましたら、このメールへ一言ご返信いただければ対応いたします。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t>
  </si>
  <si>
    <t>https://akashi-journal.com/openclose/with-seikotsuin-nishiakashi/</t>
  </si>
  <si>
    <t>がいし鍼灸院・接骨院</t>
  </si>
  <si>
    <t>広島県</t>
  </si>
  <si>
    <t>広島市安佐南区</t>
  </si>
  <si>
    <t>伴東2丁目3-13</t>
  </si>
  <si>
    <t>公開検索で独自HP未確認</t>
  </si>
  <si>
    <t>公開連絡先を要確認</t>
  </si>
  <si>
    <t>広島市の公表資料で、2026年4月1日に柔道整復・鍼灸の開設届を確認。</t>
  </si>
  <si>
    <t>開院情報、施術内容、院長紹介、料金、予約方法をまとめる初期公式HP。Googleビジネスプロフィールと連携。</t>
  </si>
  <si>
    <t>件名：【がいし鍼灸院・接骨院様】開院後のWeb集客についてご提案です
がいし鍼灸院・接骨院
ご担当者様
突然のご連絡失礼いたします。
整骨院・接骨院専門のホームページ制作サービス「整骨院web」を運営しております、WEBBRIOの柴藤と申します。
公開情報を拝見し、広島市の公表資料で、2026年4月1日に柔道整復・鍼灸の開設届を確認。
開院直後の今、施術内容・料金・スタッフ紹介・初診時の流れ・予約方法を一か所にまとめた公式ホームページがあると、GoogleマップやSNSで院を知った方へ安心感を伝えやすくなります。
がいし鍼灸院・接骨院様の場合は、開院情報、施術内容、院長紹介、料金、予約方法をまとめる初期公式HP。Googleビジネスプロフィールと連携。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ご関心がございましたら、がいし鍼灸院・接骨院様向けのページ構成案を無料で作成いたします。
https://seikotsuinweb.com/
不要でしたらご返信は不要です。今後のご案内停止をご希望の場合は、その旨をお知らせください。
WEBBRIO
柴藤 嵩斎</t>
  </si>
  <si>
    <t>件名：Re:【がいし鍼灸院・接骨院様】開院後のWeb集客についてご提案です
がいし鍼灸院・接骨院
ご担当者様
先日、ホームページ制作についてご連絡したWEBBRIOの柴藤です。
その後ご検討状況はいかがでしょうか。
がいし鍼灸院・接骨院様向けに、必要なページ構成と予約導線の簡単な案を無料でお作りできます。ご興味がございましたら、このメールへ一言ご返信いただければ対応いたします。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t>
  </si>
  <si>
    <t>https://www.city.hiroshima.lg.jp/_res/projects/default_project/_page_/001/020/223/r804.pdf</t>
  </si>
  <si>
    <t>ひさもり鍼灸・整骨院</t>
  </si>
  <si>
    <t>上安2丁目16-18-101</t>
  </si>
  <si>
    <t>上安周辺の地域検索を意識した公式HP。対応症状、初診案内、院内写真、予約手段を明確化。</t>
  </si>
  <si>
    <t>件名：【ひさもり鍼灸・整骨院様】開院後のWeb集客についてご提案です
ひさもり鍼灸・整骨院
ご担当者様
突然のご連絡失礼いたします。
整骨院・接骨院専門のホームページ制作サービス「整骨院web」を運営しております、WEBBRIOの柴藤と申します。
公開情報を拝見し、広島市の公表資料で、2026年4月1日に柔道整復・鍼灸の開設届を確認。
開院直後の今、施術内容・料金・スタッフ紹介・初診時の流れ・予約方法を一か所にまとめた公式ホームページがあると、GoogleマップやSNSで院を知った方へ安心感を伝えやすくなります。
ひさもり鍼灸・整骨院様の場合は、上安周辺の地域検索を意識した公式HP。対応症状、初診案内、院内写真、予約手段を明確化。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ご関心がございましたら、ひさもり鍼灸・整骨院様向けのページ構成案を無料で作成いたします。
https://seikotsuinweb.com/
不要でしたらご返信は不要です。今後のご案内停止をご希望の場合は、その旨をお知らせください。
WEBBRIO
柴藤 嵩斎</t>
  </si>
  <si>
    <t>件名：Re:【ひさもり鍼灸・整骨院様】開院後のWeb集客についてご提案です
ひさもり鍼灸・整骨院
ご担当者様
先日、ホームページ制作についてご連絡したWEBBRIOの柴藤です。
その後ご検討状況はいかがでしょうか。
ひさもり鍼灸・整骨院様向けに、必要なページ構成と予約導線の簡単な案を無料でお作りできます。ご興味がございましたら、このメールへ一言ご返信いただければ対応いたします。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t>
  </si>
  <si>
    <t>なぎさ接骨院・鍼灸院</t>
  </si>
  <si>
    <t>広島市東区</t>
  </si>
  <si>
    <t>牛田本町2丁目8-5</t>
  </si>
  <si>
    <t>広島市の公表資料で、2026年4月27日に柔道整復・鍼灸の開設届を確認。</t>
  </si>
  <si>
    <t>接骨と鍼灸の使い分け、料金、初診の流れを分かりやすく掲載。牛田本町の地域SEOを整備。</t>
  </si>
  <si>
    <t>件名：【なぎさ接骨院・鍼灸院様】開院後のWeb集客についてご提案です
なぎさ接骨院・鍼灸院
ご担当者様
突然のご連絡失礼いたします。
整骨院・接骨院専門のホームページ制作サービス「整骨院web」を運営しております、WEBBRIOの柴藤と申します。
公開情報を拝見し、広島市の公表資料で、2026年4月27日に柔道整復・鍼灸の開設届を確認。
開院直後の今、施術内容・料金・スタッフ紹介・初診時の流れ・予約方法を一か所にまとめた公式ホームページがあると、GoogleマップやSNSで院を知った方へ安心感を伝えやすくなります。
なぎさ接骨院・鍼灸院様の場合は、接骨と鍼灸の使い分け、料金、初診の流れを分かりやすく掲載。牛田本町の地域SEOを整備。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ご関心がございましたら、なぎさ接骨院・鍼灸院様向けのページ構成案を無料で作成いたします。
https://seikotsuinweb.com/
不要でしたらご返信は不要です。今後のご案内停止をご希望の場合は、その旨をお知らせください。
WEBBRIO
柴藤 嵩斎</t>
  </si>
  <si>
    <t>件名：Re:【なぎさ接骨院・鍼灸院様】開院後のWeb集客についてご提案です
なぎさ接骨院・鍼灸院
ご担当者様
先日、ホームページ制作についてご連絡したWEBBRIOの柴藤です。
その後ご検討状況はいかがでしょうか。
なぎさ接骨院・鍼灸院様向けに、必要なページ構成と予約導線の簡単な案を無料でお作りできます。ご興味がございましたら、このメールへ一言ご返信いただければ対応いたします。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t>
  </si>
  <si>
    <t>みやび整骨院</t>
  </si>
  <si>
    <t>毘沙門台2丁目41-31</t>
  </si>
  <si>
    <t>広島市の公表資料で、2026年2月25日に柔道整復の開設届を確認。</t>
  </si>
  <si>
    <t>院の特徴が検索上で判別できる公式HP。院長紹介、対応内容、受付時間、アクセスを優先して整備。</t>
  </si>
  <si>
    <t>件名：【みやび整骨院様】開院後のWeb集客についてご提案です
みやび整骨院
ご担当者様
突然のご連絡失礼いたします。
整骨院・接骨院専門のホームページ制作サービス「整骨院web」を運営しております、WEBBRIOの柴藤と申します。
公開情報を拝見し、広島市の公表資料で、2026年2月25日に柔道整復の開設届を確認。
開院直後の今、施術内容・料金・スタッフ紹介・初診時の流れ・予約方法を一か所にまとめた公式ホームページがあると、GoogleマップやSNSで院を知った方へ安心感を伝えやすくなります。
みやび整骨院様の場合は、院の特徴が検索上で判別できる公式HP。院長紹介、対応内容、受付時間、アクセスを優先して整備。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ご関心がございましたら、みやび整骨院様向けのページ構成案を無料で作成いたします。
https://seikotsuinweb.com/
不要でしたらご返信は不要です。今後のご案内停止をご希望の場合は、その旨をお知らせください。
WEBBRIO
柴藤 嵩斎</t>
  </si>
  <si>
    <t>件名：Re:【みやび整骨院様】開院後のWeb集客についてご提案です
みやび整骨院
ご担当者様
先日、ホームページ制作についてご連絡したWEBBRIOの柴藤です。
その後ご検討状況はいかがでしょうか。
みやび整骨院様向けに、必要なページ構成と予約導線の簡単な案を無料でお作りできます。ご興味がございましたら、このメールへ一言ご返信いただければ対応いたします。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t>
  </si>
  <si>
    <t>https://www.city.hiroshima.lg.jp/_res/projects/default_project/_page_/001/020/223/r802.pdf</t>
  </si>
  <si>
    <t>ひろがる接骨院・鍼灸院 広島スタジアム前院</t>
  </si>
  <si>
    <t>広島市南区</t>
  </si>
  <si>
    <t>南蟹屋1丁目1-25</t>
  </si>
  <si>
    <t>院単独HPを要確認</t>
  </si>
  <si>
    <t>運営会社または店舗連絡先を要確認</t>
  </si>
  <si>
    <t>広島市の公表資料で、2026年2月20日から24日に柔道整復・鍼灸の開設届を確認。</t>
  </si>
  <si>
    <t>スタジアム前の立地、スポーツ対応、鍼灸・接骨の違いを店舗ページで訴求。来院予約までの導線を短縮。</t>
  </si>
  <si>
    <t>件名：【ひろがる接骨院・鍼灸院 広島スタジアム前院様】開院後のWeb集客についてご提案です
ひろがる接骨院・鍼灸院 広島スタジアム前院
ご担当者様
突然のご連絡失礼いたします。
整骨院・接骨院専門のホームページ制作サービス「整骨院web」を運営しております、WEBBRIOの柴藤と申します。
公開情報を拝見し、広島市の公表資料で、2026年2月20日から24日に柔道整復・鍼灸の開設届を確認。
開院直後の今、施術内容・料金・スタッフ紹介・初診時の流れ・予約方法を一か所にまとめた公式ホームページがあると、GoogleマップやSNSで院を知った方へ安心感を伝えやすくなります。
ひろがる接骨院・鍼灸院 広島スタジアム前院様の場合は、スタジアム前の立地、スポーツ対応、鍼灸・接骨の違いを店舗ページで訴求。来院予約までの導線を短縮。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ご関心がございましたら、ひろがる接骨院・鍼灸院 広島スタジアム前院様向けのページ構成案を無料で作成いたします。
https://seikotsuinweb.com/
不要でしたらご返信は不要です。今後のご案内停止をご希望の場合は、その旨をお知らせください。
WEBBRIO
柴藤 嵩斎</t>
  </si>
  <si>
    <t>件名：Re:【ひろがる接骨院・鍼灸院 広島スタジアム前院様】開院後のWeb集客についてご提案です
ひろがる接骨院・鍼灸院 広島スタジアム前院
ご担当者様
先日、ホームページ制作についてご連絡したWEBBRIOの柴藤です。
その後ご検討状況はいかがでしょうか。
ひろがる接骨院・鍼灸院 広島スタジアム前院様向けに、必要なページ構成と予約導線の簡単な案を無料でお作りできます。ご興味がございましたら、このメールへ一言ご返信いただければ対応いたします。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t>
  </si>
  <si>
    <t>ヤマニシ鍼灸整骨院（鶴見町新所在地）</t>
  </si>
  <si>
    <t>広島市中区</t>
  </si>
  <si>
    <t>鶴見町11-8-606</t>
  </si>
  <si>
    <t>低・移転等要確認</t>
  </si>
  <si>
    <t>独自HP未確認（既存掲載情報あり）</t>
  </si>
  <si>
    <t>電話 082-542-9321</t>
  </si>
  <si>
    <t>広島市資料で2026年1月5日の開設届。過去の別住所掲載があるため、新規開業か移転かを送信前に確認必須。</t>
  </si>
  <si>
    <t>新所在地・受付情報を正確に案内する公式HP。旧住所情報の混在解消とGoogleマップ整備を優先。</t>
  </si>
  <si>
    <t>件名：【ヤマニシ鍼灸整骨院（鶴見町新所在地）様】開院後のWeb集客についてご提案です
ヤマニシ鍼灸整骨院（鶴見町新所在地）
ご担当者様
突然のご連絡失礼いたします。
整骨院・接骨院専門のホームページ制作サービス「整骨院web」を運営しております、WEBBRIOの柴藤と申します。
公開情報を拝見し、広島市資料で2026年1月5日の開設届。過去の別住所掲載があるため、新規開業か移転かを送信前に確認必須。
開院直後の今、施術内容・料金・スタッフ紹介・初診時の流れ・予約方法を一か所にまとめた公式ホームページがあると、GoogleマップやSNSで院を知った方へ安心感を伝えやすくなります。
ヤマニシ鍼灸整骨院（鶴見町新所在地）様の場合は、新所在地・受付情報を正確に案内する公式HP。旧住所情報の混在解消とGoogleマップ整備を優先。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ご関心がございましたら、ヤマニシ鍼灸整骨院（鶴見町新所在地）様向けのページ構成案を無料で作成いたします。
https://seikotsuinweb.com/
不要でしたらご返信は不要です。今後のご案内停止をご希望の場合は、その旨をお知らせください。
WEBBRIO
柴藤 嵩斎</t>
  </si>
  <si>
    <t>件名：Re:【ヤマニシ鍼灸整骨院（鶴見町新所在地）様】開院後のWeb集客についてご提案です
ヤマニシ鍼灸整骨院（鶴見町新所在地）
ご担当者様
先日、ホームページ制作についてご連絡したWEBBRIOの柴藤です。
その後ご検討状況はいかがでしょうか。
ヤマニシ鍼灸整骨院（鶴見町新所在地）様向けに、必要なページ構成と予約導線の簡単な案を無料でお作りできます。ご興味がございましたら、このメールへ一言ご返信いただければ対応いたします。
今回のご案内が不要でしたら、以後こちらからご連絡いたしません。
WEBBRIO
柴藤 嵩斎</t>
  </si>
  <si>
    <t>開業・届出から半年未満。新規開業か移転かを必ず再確認。</t>
  </si>
  <si>
    <t>https://www.city.hiroshima.lg.jp/_res/projects/default_project/_page_/001/020/223/r801.pdf</t>
  </si>
  <si>
    <t>整骨院web 営業リスト運用ルール</t>
  </si>
  <si>
    <t>項目</t>
  </si>
  <si>
    <t>ルール</t>
  </si>
  <si>
    <t>ティア1</t>
  </si>
  <si>
    <t>開業半年未満かつ独自HPがないC。今回の一覧は公開情報による候補で、送信直前に再確認する。</t>
  </si>
  <si>
    <t>初回送信</t>
  </si>
  <si>
    <t>個別調査済みの本文だけを使用。宛先・院名・事実関係を確認してから送信。</t>
  </si>
  <si>
    <t>追客</t>
  </si>
  <si>
    <t>返信がない場合のみ7日後を目安に1回まで。</t>
  </si>
  <si>
    <t>最大2回（初回1回＋追客1回）。</t>
  </si>
  <si>
    <t>拒否・配信停止依頼・閉院・連絡先誤りは即「はい」。以後送らない。</t>
  </si>
  <si>
    <t>電話</t>
  </si>
  <si>
    <t>公開電話番号は患者予約用の可能性があるため、営業電話には原則使用しない。</t>
  </si>
  <si>
    <t>公開メール</t>
  </si>
  <si>
    <t>営業利用を禁止している掲載ページの連絡先は使用しない。</t>
  </si>
  <si>
    <t>事実確認</t>
  </si>
  <si>
    <t>開業日、独自HPの有無、院名、所在地、連絡経路を送信当日に再確認。</t>
  </si>
  <si>
    <t>下書き保存</t>
  </si>
  <si>
    <t>Gmailに作成する内容とExcelの初回・追客本文を一致させる。</t>
  </si>
  <si>
    <t>根拠区分</t>
  </si>
  <si>
    <t>HP判定</t>
  </si>
  <si>
    <t>送信前確認</t>
  </si>
  <si>
    <t>地域記事・施設掲載</t>
  </si>
  <si>
    <t>独自HP・開業実態・連絡先を当日確認</t>
  </si>
  <si>
    <t>開業日の特定後に送信対象へ確定</t>
  </si>
  <si>
    <t>自治体の開設届公表資料</t>
  </si>
  <si>
    <t>件名：【SAIKI整骨院様】開院後のWeb集客についてご提案です
SAIKI整骨院
ご担当者様
突然のご連絡失礼いたします。
整骨院・接骨院専門のホームページ制作サービス「整骨院web」を運営しております、WEBBRIOの柴藤と申します。
公開情報を拝見し、10時〜22時。施術とトレーニングに対応し、アスリート特化型パーソナルトレーニングも案内。
開院直後の今、施術内容・料金・スタッフ紹介・初診時の流れ・予約方法を一か所にまとめた公式ホームページがあると、GoogleマップやSNSで院を知った方へ安心感を伝えやすくなります。
SAIKI整骨院様の場合は、スポーツ外傷・施術・トレーニングを一つに整理した公式HP。競技別ページとLINE予約導線を設置。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ご関心がございましたら、SAIKI整骨院様向けのページ構成案を無料で作成いたします。
https://seikotsuinweb.com/
不要でしたらご返信は不要です。今後のご案内停止をご希望の場合は、その旨をお知らせください。
WEBBRIO
柴藤 嵩斎</t>
    <phoneticPr fontId="6"/>
  </si>
  <si>
    <t>件名：【香里園たいじゅ整骨院様】開院後のWeb集客についてご提案です
香里園たいじゅ整骨院
ご担当者様
突然のご連絡失礼いたします。
整骨院・接骨院専門のホームページ制作サービス「整骨院web」を運営しております、WEBBRIOの柴藤と申します。
公開情報を拝見し、院長・副院長ともスポーツ経験があり、最新機器と担当制のオーダーメイド施術を案内。
開院直後の今、施術内容・料金・スタッフ紹介・初診時の流れ・予約方法を一か所にまとめた公式ホームページがあると、GoogleマップやSNSで院を知った方へ安心感を伝えやすくなります。
香里園たいじゅ整骨院様の場合は、最新機器の特徴、2名の国家資格者、スポーツ対応を公式HPで可視化。症状別ページとLINE予約を設置。
制作会社へ5ページ程度のホームページを依頼すると30万円前後以上になるケースもありますが、整骨院webでは必要な構成と予約導線を専門化することで、通常128,000円（税込）〜、現在は先着3院限定で98,000円（税込）〜にて制作しております。
Instagram運用、公式LINE運用、Web広告運用、アクセス解析・流入改善もご相談いただけます。
ご関心がございましたら、香里園たいじゅ整骨院様向けのページ構成案を無料で作成いたします。
https://seikotsuinweb.com/
不要でしたらご返信は不要です。今後のご案内停止をご希望の場合は、その旨をお知らせください。
WEBBRIO
柴藤 嵩斎</t>
    <phoneticPr fontId="6"/>
  </si>
  <si>
    <t>独自HP未確認（Hot Pepper・地域記事中心）</t>
    <phoneticPr fontId="6"/>
  </si>
  <si>
    <t>Hot Pepper予約・Instagram・LINE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</si>
</sst>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b/>
      <sz val="11"/>
      <color rgb="FFFFFFFF"/>
      <name val="Carlito"/>
    </font>
    <font>
      <sz val="11"/>
      <color rgb="FF2A2620"/>
      <name val="Carlito"/>
    </font>
    <font>
      <b/>
      <sz val="11"/>
      <color rgb="FF806334"/>
      <name val="Carlito"/>
    </font>
    <font>
      <b/>
      <sz val="18"/>
      <color rgb="FFFFFFFF"/>
      <name val="Carlito"/>
    </font>
    <font>
      <sz val="11"/>
      <name val="Carlito"/>
    </font>
    <font>
      <sz val="6"/>
      <name val="Tsukushi A Round Gothic Bold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806334"/>
      </patternFill>
    </fill>
    <fill>
      <patternFill patternType="solid">
        <fgColor rgb="FFF2E6CC"/>
      </patternFill>
    </fill>
    <fill>
      <patternFill patternType="solid">
        <fgColor rgb="FFA88750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D4C5"/>
      </bottom>
      <diagonal/>
    </border>
    <border>
      <left/>
      <right/>
      <top style="thin">
        <color rgb="FFDDD4C5"/>
      </top>
      <bottom style="thin">
        <color rgb="FFDDD4C5"/>
      </bottom>
      <diagonal/>
    </border>
    <border>
      <left/>
      <right/>
      <top style="thin">
        <color rgb="FFDDD4C5"/>
      </top>
      <bottom style="thin">
        <color rgb="FFB8A98F"/>
      </bottom>
      <diagonal/>
    </border>
    <border>
      <left/>
      <right/>
      <top style="thin">
        <color rgb="FFDDD4C5"/>
      </top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2" fillId="0" borderId="2" xfId="1" applyFont="1" applyBorder="1" applyAlignment="1">
      <alignment vertical="top"/>
    </xf>
    <xf numFmtId="176" fontId="2" fillId="0" borderId="2" xfId="1" applyNumberFormat="1" applyFont="1" applyBorder="1" applyAlignment="1">
      <alignment vertical="top"/>
    </xf>
    <xf numFmtId="0" fontId="2" fillId="0" borderId="2" xfId="1" applyFont="1" applyBorder="1" applyAlignment="1">
      <alignment vertical="top" wrapText="1"/>
    </xf>
    <xf numFmtId="0" fontId="2" fillId="0" borderId="3" xfId="1" applyFont="1" applyBorder="1" applyAlignment="1">
      <alignment vertical="top"/>
    </xf>
    <xf numFmtId="176" fontId="2" fillId="0" borderId="3" xfId="1" applyNumberFormat="1" applyFont="1" applyBorder="1" applyAlignment="1">
      <alignment vertical="top"/>
    </xf>
    <xf numFmtId="0" fontId="2" fillId="0" borderId="3" xfId="1" applyFont="1" applyBorder="1" applyAlignment="1">
      <alignment vertical="top" wrapText="1"/>
    </xf>
    <xf numFmtId="0" fontId="3" fillId="3" borderId="2" xfId="1" applyFont="1" applyFill="1" applyBorder="1" applyAlignment="1">
      <alignment horizontal="center" vertical="top"/>
    </xf>
    <xf numFmtId="0" fontId="3" fillId="3" borderId="3" xfId="1" applyFont="1" applyFill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176" fontId="2" fillId="0" borderId="2" xfId="1" applyNumberFormat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 wrapText="1"/>
    </xf>
    <xf numFmtId="176" fontId="2" fillId="0" borderId="3" xfId="1" applyNumberFormat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 wrapText="1"/>
    </xf>
    <xf numFmtId="0" fontId="1" fillId="4" borderId="1" xfId="1" applyFont="1" applyFill="1" applyBorder="1"/>
    <xf numFmtId="0" fontId="0" fillId="0" borderId="2" xfId="1" applyFont="1" applyBorder="1" applyAlignment="1">
      <alignment wrapText="1"/>
    </xf>
    <xf numFmtId="0" fontId="0" fillId="0" borderId="4" xfId="1" applyFont="1" applyBorder="1" applyAlignment="1">
      <alignment wrapText="1"/>
    </xf>
    <xf numFmtId="0" fontId="1" fillId="2" borderId="1" xfId="1" applyFont="1" applyFill="1" applyBorder="1" applyAlignment="1">
      <alignment wrapText="1"/>
    </xf>
    <xf numFmtId="176" fontId="0" fillId="0" borderId="2" xfId="1" applyNumberFormat="1" applyFont="1" applyBorder="1" applyAlignment="1">
      <alignment wrapText="1"/>
    </xf>
    <xf numFmtId="176" fontId="0" fillId="0" borderId="4" xfId="1" applyNumberFormat="1" applyFont="1" applyBorder="1" applyAlignment="1">
      <alignment wrapText="1"/>
    </xf>
    <xf numFmtId="0" fontId="4" fillId="2" borderId="0" xfId="1" applyFont="1" applyFill="1" applyAlignment="1">
      <alignment horizontal="left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er1Leads" displayName="Tier1Leads" ref="A1:X11" totalsRowShown="0">
  <tableColumns count="24">
    <tableColumn id="1" xr3:uid="{00000000-0010-0000-0000-000001000000}" name="No."/>
    <tableColumn id="2" xr3:uid="{00000000-0010-0000-0000-000002000000}" name="ティア"/>
    <tableColumn id="3" xr3:uid="{00000000-0010-0000-0000-000003000000}" name="HP分類"/>
    <tableColumn id="4" xr3:uid="{00000000-0010-0000-0000-000004000000}" name="院名"/>
    <tableColumn id="5" xr3:uid="{00000000-0010-0000-0000-000005000000}" name="都道府県"/>
    <tableColumn id="6" xr3:uid="{00000000-0010-0000-0000-000006000000}" name="市区町村"/>
    <tableColumn id="7" xr3:uid="{00000000-0010-0000-0000-000007000000}" name="住所"/>
    <tableColumn id="8" xr3:uid="{00000000-0010-0000-0000-000008000000}" name="開業・届出日"/>
    <tableColumn id="9" xr3:uid="{00000000-0010-0000-0000-000009000000}" name="経過月数"/>
    <tableColumn id="10" xr3:uid="{00000000-0010-0000-0000-00000A000000}" name="判定確度"/>
    <tableColumn id="11" xr3:uid="{00000000-0010-0000-0000-00000B000000}" name="Web状況"/>
    <tableColumn id="12" xr3:uid="{00000000-0010-0000-0000-00000C000000}" name="連絡方法"/>
    <tableColumn id="13" xr3:uid="{00000000-0010-0000-0000-00000D000000}" name="メールアドレス"/>
    <tableColumn id="14" xr3:uid="{00000000-0010-0000-0000-00000E000000}" name="確認した特徴"/>
    <tableColumn id="15" xr3:uid="{00000000-0010-0000-0000-00000F000000}" name="提案内容"/>
    <tableColumn id="16" xr3:uid="{00000000-0010-0000-0000-000010000000}" name="初回メール件名・本文"/>
    <tableColumn id="17" xr3:uid="{00000000-0010-0000-0000-000011000000}" name="追客メール本文"/>
    <tableColumn id="18" xr3:uid="{00000000-0010-0000-0000-000012000000}" name="初回送信日"/>
    <tableColumn id="19" xr3:uid="{00000000-0010-0000-0000-000013000000}" name="追客予定日"/>
    <tableColumn id="20" xr3:uid="{00000000-0010-0000-0000-000014000000}" name="送信回数"/>
    <tableColumn id="21" xr3:uid="{00000000-0010-0000-0000-000015000000}" name="返信状況"/>
    <tableColumn id="22" xr3:uid="{00000000-0010-0000-0000-000016000000}" name="送信禁止"/>
    <tableColumn id="23" xr3:uid="{00000000-0010-0000-0000-000017000000}" name="判定理由・注意"/>
    <tableColumn id="24" xr3:uid="{00000000-0010-0000-0000-000018000000}" name="根拠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Evidence" displayName="SourceEvidence" ref="A1:G11" totalsRowShown="0">
  <tableColumns count="7">
    <tableColumn id="1" xr3:uid="{00000000-0010-0000-0100-000001000000}" name="No."/>
    <tableColumn id="2" xr3:uid="{00000000-0010-0000-0100-000002000000}" name="院名"/>
    <tableColumn id="3" xr3:uid="{00000000-0010-0000-0100-000003000000}" name="開業・届出日"/>
    <tableColumn id="4" xr3:uid="{00000000-0010-0000-0100-000004000000}" name="根拠区分"/>
    <tableColumn id="5" xr3:uid="{00000000-0010-0000-0100-000005000000}" name="根拠URL"/>
    <tableColumn id="6" xr3:uid="{00000000-0010-0000-0100-000006000000}" name="HP判定"/>
    <tableColumn id="7" xr3:uid="{00000000-0010-0000-0100-000007000000}" name="送信前確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showGridLines="0" tabSelected="1" zoomScale="86" workbookViewId="0">
      <selection activeCell="D2" sqref="D2"/>
    </sheetView>
  </sheetViews>
  <sheetFormatPr baseColWidth="10" defaultColWidth="8.83203125" defaultRowHeight="14"/>
  <cols>
    <col min="1" max="2" width="7" customWidth="1"/>
    <col min="3" max="3" width="9" customWidth="1"/>
    <col min="4" max="4" width="27" customWidth="1"/>
    <col min="5" max="5" width="11" customWidth="1"/>
    <col min="6" max="6" width="15" customWidth="1"/>
    <col min="7" max="7" width="28" customWidth="1"/>
    <col min="8" max="8" width="13" customWidth="1"/>
    <col min="9" max="9" width="10" customWidth="1"/>
    <col min="10" max="10" width="17" customWidth="1"/>
    <col min="11" max="11" width="30" customWidth="1"/>
    <col min="12" max="12" width="24" customWidth="1"/>
    <col min="13" max="13" width="26" customWidth="1"/>
    <col min="14" max="14" width="45" customWidth="1"/>
    <col min="15" max="15" width="48" customWidth="1"/>
    <col min="16" max="16" width="72" customWidth="1"/>
    <col min="17" max="17" width="65" customWidth="1"/>
    <col min="18" max="19" width="13" customWidth="1"/>
    <col min="20" max="20" width="10" customWidth="1"/>
    <col min="21" max="21" width="13" customWidth="1"/>
    <col min="22" max="22" width="11" customWidth="1"/>
    <col min="23" max="23" width="38" customWidth="1"/>
    <col min="24" max="24" width="52" customWidth="1"/>
  </cols>
  <sheetData>
    <row r="1" spans="1:24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92" customHeight="1">
      <c r="A2" s="10">
        <v>1</v>
      </c>
      <c r="B2" s="8">
        <v>1</v>
      </c>
      <c r="C2" s="8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12">
        <v>46146</v>
      </c>
      <c r="I2" s="10">
        <f t="shared" ref="I2:I11" si="0">IF(H2="","",DATEDIF(H2,DATE(2026,7,3),"m"))</f>
        <v>1</v>
      </c>
      <c r="J2" s="13" t="s">
        <v>29</v>
      </c>
      <c r="K2" s="2" t="s">
        <v>30</v>
      </c>
      <c r="L2" s="2" t="s">
        <v>31</v>
      </c>
      <c r="M2" s="2" t="s">
        <v>32</v>
      </c>
      <c r="N2" s="4" t="s">
        <v>33</v>
      </c>
      <c r="O2" s="4" t="s">
        <v>34</v>
      </c>
      <c r="P2" s="4" t="s">
        <v>148</v>
      </c>
      <c r="Q2" s="4" t="s">
        <v>35</v>
      </c>
      <c r="R2" s="3"/>
      <c r="S2" s="3" t="str">
        <f t="shared" ref="S2:S11" si="1">IF(R2="","",R2+7)</f>
        <v/>
      </c>
      <c r="T2" s="10">
        <v>0</v>
      </c>
      <c r="U2" s="10" t="s">
        <v>36</v>
      </c>
      <c r="V2" s="10" t="s">
        <v>37</v>
      </c>
      <c r="W2" s="4" t="s">
        <v>38</v>
      </c>
      <c r="X2" s="4" t="s">
        <v>39</v>
      </c>
    </row>
    <row r="3" spans="1:24" ht="92" customHeight="1">
      <c r="A3" s="10">
        <v>2</v>
      </c>
      <c r="B3" s="8">
        <v>1</v>
      </c>
      <c r="C3" s="8" t="s">
        <v>24</v>
      </c>
      <c r="D3" s="2" t="s">
        <v>40</v>
      </c>
      <c r="E3" s="2" t="s">
        <v>26</v>
      </c>
      <c r="F3" s="2" t="s">
        <v>41</v>
      </c>
      <c r="G3" s="2" t="s">
        <v>42</v>
      </c>
      <c r="H3" s="12"/>
      <c r="I3" s="10" t="str">
        <f t="shared" si="0"/>
        <v/>
      </c>
      <c r="J3" s="13" t="s">
        <v>43</v>
      </c>
      <c r="K3" s="2" t="s">
        <v>44</v>
      </c>
      <c r="L3" s="2" t="s">
        <v>45</v>
      </c>
      <c r="M3" s="2" t="s">
        <v>32</v>
      </c>
      <c r="N3" s="4" t="s">
        <v>46</v>
      </c>
      <c r="O3" s="4" t="s">
        <v>47</v>
      </c>
      <c r="P3" s="4" t="s">
        <v>48</v>
      </c>
      <c r="Q3" s="4" t="s">
        <v>49</v>
      </c>
      <c r="R3" s="3"/>
      <c r="S3" s="3" t="str">
        <f t="shared" si="1"/>
        <v/>
      </c>
      <c r="T3" s="10">
        <v>0</v>
      </c>
      <c r="U3" s="10" t="s">
        <v>36</v>
      </c>
      <c r="V3" s="10" t="s">
        <v>37</v>
      </c>
      <c r="W3" s="4" t="s">
        <v>50</v>
      </c>
      <c r="X3" s="4" t="s">
        <v>51</v>
      </c>
    </row>
    <row r="4" spans="1:24" ht="92" customHeight="1">
      <c r="A4" s="10">
        <v>3</v>
      </c>
      <c r="B4" s="8">
        <v>1</v>
      </c>
      <c r="C4" s="8" t="s">
        <v>24</v>
      </c>
      <c r="D4" s="2" t="s">
        <v>52</v>
      </c>
      <c r="E4" s="2" t="s">
        <v>26</v>
      </c>
      <c r="F4" s="2" t="s">
        <v>27</v>
      </c>
      <c r="G4" s="2" t="s">
        <v>53</v>
      </c>
      <c r="H4" s="12">
        <v>46174</v>
      </c>
      <c r="I4" s="10">
        <f t="shared" si="0"/>
        <v>1</v>
      </c>
      <c r="J4" s="13" t="s">
        <v>29</v>
      </c>
      <c r="K4" s="2" t="s">
        <v>150</v>
      </c>
      <c r="L4" s="2" t="s">
        <v>151</v>
      </c>
      <c r="M4" s="2" t="s">
        <v>32</v>
      </c>
      <c r="N4" s="4" t="s">
        <v>55</v>
      </c>
      <c r="O4" s="4" t="s">
        <v>56</v>
      </c>
      <c r="P4" s="4" t="s">
        <v>149</v>
      </c>
      <c r="Q4" s="4" t="s">
        <v>57</v>
      </c>
      <c r="R4" s="3"/>
      <c r="S4" s="3" t="str">
        <f t="shared" si="1"/>
        <v/>
      </c>
      <c r="T4" s="10">
        <v>0</v>
      </c>
      <c r="U4" s="10" t="s">
        <v>36</v>
      </c>
      <c r="V4" s="10" t="s">
        <v>37</v>
      </c>
      <c r="W4" s="4" t="s">
        <v>38</v>
      </c>
      <c r="X4" s="4" t="s">
        <v>58</v>
      </c>
    </row>
    <row r="5" spans="1:24" ht="92" customHeight="1">
      <c r="A5" s="10">
        <v>4</v>
      </c>
      <c r="B5" s="8">
        <v>1</v>
      </c>
      <c r="C5" s="8" t="s">
        <v>24</v>
      </c>
      <c r="D5" s="2" t="s">
        <v>59</v>
      </c>
      <c r="E5" s="2" t="s">
        <v>60</v>
      </c>
      <c r="F5" s="2" t="s">
        <v>61</v>
      </c>
      <c r="G5" s="2" t="s">
        <v>62</v>
      </c>
      <c r="H5" s="12">
        <v>46181</v>
      </c>
      <c r="I5" s="10">
        <f t="shared" si="0"/>
        <v>0</v>
      </c>
      <c r="J5" s="13" t="s">
        <v>63</v>
      </c>
      <c r="K5" s="2" t="s">
        <v>64</v>
      </c>
      <c r="L5" s="2" t="s">
        <v>65</v>
      </c>
      <c r="M5" s="2" t="s">
        <v>32</v>
      </c>
      <c r="N5" s="4" t="s">
        <v>66</v>
      </c>
      <c r="O5" s="4" t="s">
        <v>67</v>
      </c>
      <c r="P5" s="4" t="s">
        <v>68</v>
      </c>
      <c r="Q5" s="4" t="s">
        <v>69</v>
      </c>
      <c r="R5" s="3"/>
      <c r="S5" s="3" t="str">
        <f t="shared" si="1"/>
        <v/>
      </c>
      <c r="T5" s="10">
        <v>0</v>
      </c>
      <c r="U5" s="10" t="s">
        <v>36</v>
      </c>
      <c r="V5" s="10" t="s">
        <v>37</v>
      </c>
      <c r="W5" s="4" t="s">
        <v>38</v>
      </c>
      <c r="X5" s="4" t="s">
        <v>70</v>
      </c>
    </row>
    <row r="6" spans="1:24" ht="92" customHeight="1">
      <c r="A6" s="10">
        <v>5</v>
      </c>
      <c r="B6" s="8">
        <v>1</v>
      </c>
      <c r="C6" s="8" t="s">
        <v>24</v>
      </c>
      <c r="D6" s="2" t="s">
        <v>71</v>
      </c>
      <c r="E6" s="2" t="s">
        <v>72</v>
      </c>
      <c r="F6" s="2" t="s">
        <v>73</v>
      </c>
      <c r="G6" s="2" t="s">
        <v>74</v>
      </c>
      <c r="H6" s="12">
        <v>46113</v>
      </c>
      <c r="I6" s="10">
        <f t="shared" si="0"/>
        <v>3</v>
      </c>
      <c r="J6" s="13" t="s">
        <v>63</v>
      </c>
      <c r="K6" s="2" t="s">
        <v>75</v>
      </c>
      <c r="L6" s="2" t="s">
        <v>76</v>
      </c>
      <c r="M6" s="2" t="s">
        <v>32</v>
      </c>
      <c r="N6" s="4" t="s">
        <v>77</v>
      </c>
      <c r="O6" s="4" t="s">
        <v>78</v>
      </c>
      <c r="P6" s="4" t="s">
        <v>79</v>
      </c>
      <c r="Q6" s="4" t="s">
        <v>80</v>
      </c>
      <c r="R6" s="3"/>
      <c r="S6" s="3" t="str">
        <f t="shared" si="1"/>
        <v/>
      </c>
      <c r="T6" s="10">
        <v>0</v>
      </c>
      <c r="U6" s="10" t="s">
        <v>36</v>
      </c>
      <c r="V6" s="10" t="s">
        <v>37</v>
      </c>
      <c r="W6" s="4" t="s">
        <v>38</v>
      </c>
      <c r="X6" s="4" t="s">
        <v>81</v>
      </c>
    </row>
    <row r="7" spans="1:24" ht="92" customHeight="1">
      <c r="A7" s="10">
        <v>6</v>
      </c>
      <c r="B7" s="8">
        <v>1</v>
      </c>
      <c r="C7" s="8" t="s">
        <v>24</v>
      </c>
      <c r="D7" s="2" t="s">
        <v>82</v>
      </c>
      <c r="E7" s="2" t="s">
        <v>72</v>
      </c>
      <c r="F7" s="2" t="s">
        <v>73</v>
      </c>
      <c r="G7" s="2" t="s">
        <v>83</v>
      </c>
      <c r="H7" s="12">
        <v>46113</v>
      </c>
      <c r="I7" s="10">
        <f t="shared" si="0"/>
        <v>3</v>
      </c>
      <c r="J7" s="13" t="s">
        <v>63</v>
      </c>
      <c r="K7" s="2" t="s">
        <v>75</v>
      </c>
      <c r="L7" s="2" t="s">
        <v>76</v>
      </c>
      <c r="M7" s="2" t="s">
        <v>32</v>
      </c>
      <c r="N7" s="4" t="s">
        <v>77</v>
      </c>
      <c r="O7" s="4" t="s">
        <v>84</v>
      </c>
      <c r="P7" s="4" t="s">
        <v>85</v>
      </c>
      <c r="Q7" s="4" t="s">
        <v>86</v>
      </c>
      <c r="R7" s="3"/>
      <c r="S7" s="3" t="str">
        <f t="shared" si="1"/>
        <v/>
      </c>
      <c r="T7" s="10">
        <v>0</v>
      </c>
      <c r="U7" s="10" t="s">
        <v>36</v>
      </c>
      <c r="V7" s="10" t="s">
        <v>37</v>
      </c>
      <c r="W7" s="4" t="s">
        <v>38</v>
      </c>
      <c r="X7" s="4" t="s">
        <v>81</v>
      </c>
    </row>
    <row r="8" spans="1:24" ht="92" customHeight="1">
      <c r="A8" s="10">
        <v>7</v>
      </c>
      <c r="B8" s="8">
        <v>1</v>
      </c>
      <c r="C8" s="8" t="s">
        <v>24</v>
      </c>
      <c r="D8" s="2" t="s">
        <v>87</v>
      </c>
      <c r="E8" s="2" t="s">
        <v>72</v>
      </c>
      <c r="F8" s="2" t="s">
        <v>88</v>
      </c>
      <c r="G8" s="2" t="s">
        <v>89</v>
      </c>
      <c r="H8" s="12">
        <v>46139</v>
      </c>
      <c r="I8" s="10">
        <f t="shared" si="0"/>
        <v>2</v>
      </c>
      <c r="J8" s="13" t="s">
        <v>63</v>
      </c>
      <c r="K8" s="2" t="s">
        <v>75</v>
      </c>
      <c r="L8" s="2" t="s">
        <v>76</v>
      </c>
      <c r="M8" s="2" t="s">
        <v>32</v>
      </c>
      <c r="N8" s="4" t="s">
        <v>90</v>
      </c>
      <c r="O8" s="4" t="s">
        <v>91</v>
      </c>
      <c r="P8" s="4" t="s">
        <v>92</v>
      </c>
      <c r="Q8" s="4" t="s">
        <v>93</v>
      </c>
      <c r="R8" s="3"/>
      <c r="S8" s="3" t="str">
        <f t="shared" si="1"/>
        <v/>
      </c>
      <c r="T8" s="10">
        <v>0</v>
      </c>
      <c r="U8" s="10" t="s">
        <v>36</v>
      </c>
      <c r="V8" s="10" t="s">
        <v>37</v>
      </c>
      <c r="W8" s="4" t="s">
        <v>38</v>
      </c>
      <c r="X8" s="4" t="s">
        <v>81</v>
      </c>
    </row>
    <row r="9" spans="1:24" ht="92" customHeight="1">
      <c r="A9" s="10">
        <v>8</v>
      </c>
      <c r="B9" s="8">
        <v>1</v>
      </c>
      <c r="C9" s="8" t="s">
        <v>24</v>
      </c>
      <c r="D9" s="2" t="s">
        <v>94</v>
      </c>
      <c r="E9" s="2" t="s">
        <v>72</v>
      </c>
      <c r="F9" s="2" t="s">
        <v>73</v>
      </c>
      <c r="G9" s="2" t="s">
        <v>95</v>
      </c>
      <c r="H9" s="12">
        <v>46078</v>
      </c>
      <c r="I9" s="10">
        <f t="shared" si="0"/>
        <v>4</v>
      </c>
      <c r="J9" s="13" t="s">
        <v>63</v>
      </c>
      <c r="K9" s="2" t="s">
        <v>75</v>
      </c>
      <c r="L9" s="2" t="s">
        <v>76</v>
      </c>
      <c r="M9" s="2" t="s">
        <v>32</v>
      </c>
      <c r="N9" s="4" t="s">
        <v>96</v>
      </c>
      <c r="O9" s="4" t="s">
        <v>97</v>
      </c>
      <c r="P9" s="4" t="s">
        <v>98</v>
      </c>
      <c r="Q9" s="4" t="s">
        <v>99</v>
      </c>
      <c r="R9" s="3"/>
      <c r="S9" s="3" t="str">
        <f t="shared" si="1"/>
        <v/>
      </c>
      <c r="T9" s="10">
        <v>0</v>
      </c>
      <c r="U9" s="10" t="s">
        <v>36</v>
      </c>
      <c r="V9" s="10" t="s">
        <v>37</v>
      </c>
      <c r="W9" s="4" t="s">
        <v>38</v>
      </c>
      <c r="X9" s="4" t="s">
        <v>100</v>
      </c>
    </row>
    <row r="10" spans="1:24" ht="92" customHeight="1">
      <c r="A10" s="10">
        <v>9</v>
      </c>
      <c r="B10" s="8">
        <v>1</v>
      </c>
      <c r="C10" s="8" t="s">
        <v>24</v>
      </c>
      <c r="D10" s="2" t="s">
        <v>101</v>
      </c>
      <c r="E10" s="2" t="s">
        <v>72</v>
      </c>
      <c r="F10" s="2" t="s">
        <v>102</v>
      </c>
      <c r="G10" s="2" t="s">
        <v>103</v>
      </c>
      <c r="H10" s="12">
        <v>46073</v>
      </c>
      <c r="I10" s="10">
        <f t="shared" si="0"/>
        <v>4</v>
      </c>
      <c r="J10" s="13" t="s">
        <v>63</v>
      </c>
      <c r="K10" s="2" t="s">
        <v>104</v>
      </c>
      <c r="L10" s="2" t="s">
        <v>105</v>
      </c>
      <c r="M10" s="2" t="s">
        <v>32</v>
      </c>
      <c r="N10" s="4" t="s">
        <v>106</v>
      </c>
      <c r="O10" s="4" t="s">
        <v>107</v>
      </c>
      <c r="P10" s="4" t="s">
        <v>108</v>
      </c>
      <c r="Q10" s="4" t="s">
        <v>109</v>
      </c>
      <c r="R10" s="3"/>
      <c r="S10" s="3" t="str">
        <f t="shared" si="1"/>
        <v/>
      </c>
      <c r="T10" s="10">
        <v>0</v>
      </c>
      <c r="U10" s="10" t="s">
        <v>36</v>
      </c>
      <c r="V10" s="10" t="s">
        <v>37</v>
      </c>
      <c r="W10" s="4" t="s">
        <v>38</v>
      </c>
      <c r="X10" s="4" t="s">
        <v>100</v>
      </c>
    </row>
    <row r="11" spans="1:24" ht="92" customHeight="1">
      <c r="A11" s="11">
        <v>10</v>
      </c>
      <c r="B11" s="9">
        <v>1</v>
      </c>
      <c r="C11" s="9" t="s">
        <v>24</v>
      </c>
      <c r="D11" s="5" t="s">
        <v>110</v>
      </c>
      <c r="E11" s="5" t="s">
        <v>72</v>
      </c>
      <c r="F11" s="5" t="s">
        <v>111</v>
      </c>
      <c r="G11" s="5" t="s">
        <v>112</v>
      </c>
      <c r="H11" s="14">
        <v>46027</v>
      </c>
      <c r="I11" s="11">
        <f t="shared" si="0"/>
        <v>5</v>
      </c>
      <c r="J11" s="15" t="s">
        <v>113</v>
      </c>
      <c r="K11" s="5" t="s">
        <v>114</v>
      </c>
      <c r="L11" s="5" t="s">
        <v>115</v>
      </c>
      <c r="M11" s="5" t="s">
        <v>32</v>
      </c>
      <c r="N11" s="7" t="s">
        <v>116</v>
      </c>
      <c r="O11" s="7" t="s">
        <v>117</v>
      </c>
      <c r="P11" s="7" t="s">
        <v>118</v>
      </c>
      <c r="Q11" s="7" t="s">
        <v>119</v>
      </c>
      <c r="R11" s="6"/>
      <c r="S11" s="6" t="str">
        <f t="shared" si="1"/>
        <v/>
      </c>
      <c r="T11" s="11">
        <v>0</v>
      </c>
      <c r="U11" s="11" t="s">
        <v>36</v>
      </c>
      <c r="V11" s="11" t="s">
        <v>37</v>
      </c>
      <c r="W11" s="7" t="s">
        <v>120</v>
      </c>
      <c r="X11" s="7" t="s">
        <v>121</v>
      </c>
    </row>
  </sheetData>
  <phoneticPr fontId="6"/>
  <dataValidations count="3">
    <dataValidation type="list" sqref="U2:U200" xr:uid="{00000000-0002-0000-0000-000000000000}">
      <formula1>"未送信,下書き済み,送信済み,返信あり,商談中,成約,見送り"</formula1>
    </dataValidation>
    <dataValidation type="list" sqref="V2:V200" xr:uid="{00000000-0002-0000-0000-000001000000}">
      <formula1>"いいえ,はい"</formula1>
    </dataValidation>
    <dataValidation type="whole" sqref="T2:T200" xr:uid="{00000000-0002-0000-0000-000002000000}">
      <formula1>0</formula1>
      <formula2>2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workbookViewId="0">
      <selection sqref="A1:F1"/>
    </sheetView>
  </sheetViews>
  <sheetFormatPr baseColWidth="10" defaultColWidth="8.83203125" defaultRowHeight="14"/>
  <cols>
    <col min="1" max="1" width="19" customWidth="1"/>
    <col min="2" max="2" width="90" customWidth="1"/>
  </cols>
  <sheetData>
    <row r="1" spans="1:6" ht="34" customHeight="1">
      <c r="A1" s="22" t="s">
        <v>122</v>
      </c>
      <c r="B1" s="22"/>
      <c r="C1" s="22"/>
      <c r="D1" s="22"/>
      <c r="E1" s="22"/>
      <c r="F1" s="22"/>
    </row>
    <row r="3" spans="1:6" ht="15">
      <c r="A3" s="16" t="s">
        <v>123</v>
      </c>
      <c r="B3" s="16" t="s">
        <v>124</v>
      </c>
    </row>
    <row r="4" spans="1:6" ht="42" customHeight="1">
      <c r="A4" s="17" t="s">
        <v>125</v>
      </c>
      <c r="B4" s="17" t="s">
        <v>126</v>
      </c>
    </row>
    <row r="5" spans="1:6" ht="42" customHeight="1">
      <c r="A5" s="17" t="s">
        <v>127</v>
      </c>
      <c r="B5" s="17" t="s">
        <v>128</v>
      </c>
    </row>
    <row r="6" spans="1:6" ht="42" customHeight="1">
      <c r="A6" s="17" t="s">
        <v>129</v>
      </c>
      <c r="B6" s="17" t="s">
        <v>130</v>
      </c>
    </row>
    <row r="7" spans="1:6" ht="42" customHeight="1">
      <c r="A7" s="17" t="s">
        <v>19</v>
      </c>
      <c r="B7" s="17" t="s">
        <v>131</v>
      </c>
    </row>
    <row r="8" spans="1:6" ht="42" customHeight="1">
      <c r="A8" s="17" t="s">
        <v>21</v>
      </c>
      <c r="B8" s="17" t="s">
        <v>132</v>
      </c>
    </row>
    <row r="9" spans="1:6" ht="42" customHeight="1">
      <c r="A9" s="17" t="s">
        <v>133</v>
      </c>
      <c r="B9" s="17" t="s">
        <v>134</v>
      </c>
    </row>
    <row r="10" spans="1:6" ht="42" customHeight="1">
      <c r="A10" s="17" t="s">
        <v>135</v>
      </c>
      <c r="B10" s="17" t="s">
        <v>136</v>
      </c>
    </row>
    <row r="11" spans="1:6" ht="42" customHeight="1">
      <c r="A11" s="17" t="s">
        <v>137</v>
      </c>
      <c r="B11" s="17" t="s">
        <v>138</v>
      </c>
    </row>
    <row r="12" spans="1:6" ht="42" customHeight="1">
      <c r="A12" s="18" t="s">
        <v>139</v>
      </c>
      <c r="B12" s="18" t="s">
        <v>140</v>
      </c>
    </row>
  </sheetData>
  <mergeCells count="1">
    <mergeCell ref="A1:F1"/>
  </mergeCells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topLeftCell="A8" workbookViewId="0"/>
  </sheetViews>
  <sheetFormatPr baseColWidth="10" defaultColWidth="8.83203125" defaultRowHeight="14"/>
  <cols>
    <col min="1" max="1" width="7" customWidth="1"/>
    <col min="2" max="2" width="36" customWidth="1"/>
    <col min="3" max="3" width="14" customWidth="1"/>
    <col min="4" max="4" width="24" customWidth="1"/>
    <col min="5" max="5" width="72" customWidth="1"/>
    <col min="6" max="7" width="38" customWidth="1"/>
  </cols>
  <sheetData>
    <row r="1" spans="1:7" ht="16">
      <c r="A1" s="19" t="s">
        <v>0</v>
      </c>
      <c r="B1" s="19" t="s">
        <v>3</v>
      </c>
      <c r="C1" s="19" t="s">
        <v>7</v>
      </c>
      <c r="D1" s="19" t="s">
        <v>141</v>
      </c>
      <c r="E1" s="19" t="s">
        <v>23</v>
      </c>
      <c r="F1" s="19" t="s">
        <v>142</v>
      </c>
      <c r="G1" s="19" t="s">
        <v>143</v>
      </c>
    </row>
    <row r="2" spans="1:7" ht="52" customHeight="1">
      <c r="A2" s="17">
        <v>1</v>
      </c>
      <c r="B2" s="17" t="s">
        <v>25</v>
      </c>
      <c r="C2" s="20">
        <v>46146</v>
      </c>
      <c r="D2" s="17" t="s">
        <v>144</v>
      </c>
      <c r="E2" s="17" t="s">
        <v>39</v>
      </c>
      <c r="F2" s="17" t="s">
        <v>30</v>
      </c>
      <c r="G2" s="17" t="s">
        <v>145</v>
      </c>
    </row>
    <row r="3" spans="1:7" ht="52" customHeight="1">
      <c r="A3" s="17">
        <v>2</v>
      </c>
      <c r="B3" s="17" t="s">
        <v>40</v>
      </c>
      <c r="C3" s="20"/>
      <c r="D3" s="17" t="s">
        <v>144</v>
      </c>
      <c r="E3" s="17" t="s">
        <v>51</v>
      </c>
      <c r="F3" s="17" t="s">
        <v>44</v>
      </c>
      <c r="G3" s="17" t="s">
        <v>146</v>
      </c>
    </row>
    <row r="4" spans="1:7" ht="52" customHeight="1">
      <c r="A4" s="17">
        <v>3</v>
      </c>
      <c r="B4" s="17" t="s">
        <v>52</v>
      </c>
      <c r="C4" s="20">
        <v>46174</v>
      </c>
      <c r="D4" s="17" t="s">
        <v>144</v>
      </c>
      <c r="E4" s="17" t="s">
        <v>58</v>
      </c>
      <c r="F4" s="17" t="s">
        <v>54</v>
      </c>
      <c r="G4" s="17" t="s">
        <v>145</v>
      </c>
    </row>
    <row r="5" spans="1:7" ht="52" customHeight="1">
      <c r="A5" s="17">
        <v>4</v>
      </c>
      <c r="B5" s="17" t="s">
        <v>59</v>
      </c>
      <c r="C5" s="20">
        <v>46181</v>
      </c>
      <c r="D5" s="17" t="s">
        <v>144</v>
      </c>
      <c r="E5" s="17" t="s">
        <v>70</v>
      </c>
      <c r="F5" s="17" t="s">
        <v>64</v>
      </c>
      <c r="G5" s="17" t="s">
        <v>145</v>
      </c>
    </row>
    <row r="6" spans="1:7" ht="52" customHeight="1">
      <c r="A6" s="17">
        <v>5</v>
      </c>
      <c r="B6" s="17" t="s">
        <v>71</v>
      </c>
      <c r="C6" s="20">
        <v>46113</v>
      </c>
      <c r="D6" s="17" t="s">
        <v>147</v>
      </c>
      <c r="E6" s="17" t="s">
        <v>81</v>
      </c>
      <c r="F6" s="17" t="s">
        <v>75</v>
      </c>
      <c r="G6" s="17" t="s">
        <v>145</v>
      </c>
    </row>
    <row r="7" spans="1:7" ht="52" customHeight="1">
      <c r="A7" s="17">
        <v>6</v>
      </c>
      <c r="B7" s="17" t="s">
        <v>82</v>
      </c>
      <c r="C7" s="20">
        <v>46113</v>
      </c>
      <c r="D7" s="17" t="s">
        <v>147</v>
      </c>
      <c r="E7" s="17" t="s">
        <v>81</v>
      </c>
      <c r="F7" s="17" t="s">
        <v>75</v>
      </c>
      <c r="G7" s="17" t="s">
        <v>145</v>
      </c>
    </row>
    <row r="8" spans="1:7" ht="52" customHeight="1">
      <c r="A8" s="17">
        <v>7</v>
      </c>
      <c r="B8" s="17" t="s">
        <v>87</v>
      </c>
      <c r="C8" s="20">
        <v>46139</v>
      </c>
      <c r="D8" s="17" t="s">
        <v>147</v>
      </c>
      <c r="E8" s="17" t="s">
        <v>81</v>
      </c>
      <c r="F8" s="17" t="s">
        <v>75</v>
      </c>
      <c r="G8" s="17" t="s">
        <v>145</v>
      </c>
    </row>
    <row r="9" spans="1:7" ht="52" customHeight="1">
      <c r="A9" s="17">
        <v>8</v>
      </c>
      <c r="B9" s="17" t="s">
        <v>94</v>
      </c>
      <c r="C9" s="20">
        <v>46078</v>
      </c>
      <c r="D9" s="17" t="s">
        <v>147</v>
      </c>
      <c r="E9" s="17" t="s">
        <v>100</v>
      </c>
      <c r="F9" s="17" t="s">
        <v>75</v>
      </c>
      <c r="G9" s="17" t="s">
        <v>145</v>
      </c>
    </row>
    <row r="10" spans="1:7" ht="52" customHeight="1">
      <c r="A10" s="17">
        <v>9</v>
      </c>
      <c r="B10" s="17" t="s">
        <v>101</v>
      </c>
      <c r="C10" s="20">
        <v>46073</v>
      </c>
      <c r="D10" s="17" t="s">
        <v>147</v>
      </c>
      <c r="E10" s="17" t="s">
        <v>100</v>
      </c>
      <c r="F10" s="17" t="s">
        <v>104</v>
      </c>
      <c r="G10" s="17" t="s">
        <v>145</v>
      </c>
    </row>
    <row r="11" spans="1:7" ht="52" customHeight="1">
      <c r="A11" s="18">
        <v>10</v>
      </c>
      <c r="B11" s="18" t="s">
        <v>110</v>
      </c>
      <c r="C11" s="21">
        <v>46027</v>
      </c>
      <c r="D11" s="18" t="s">
        <v>147</v>
      </c>
      <c r="E11" s="18" t="s">
        <v>121</v>
      </c>
      <c r="F11" s="18" t="s">
        <v>114</v>
      </c>
      <c r="G11" s="18" t="s">
        <v>145</v>
      </c>
    </row>
  </sheetData>
  <phoneticPr fontId="6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ティア1候補</vt:lpstr>
      <vt:lpstr>運用ルール</vt:lpstr>
      <vt:lpstr>調査根拠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嵩斎 Kosai 柴藤 Shibato</cp:lastModifiedBy>
  <dcterms:modified xsi:type="dcterms:W3CDTF">2026-07-03T11:34:12Z</dcterms:modified>
</cp:coreProperties>
</file>