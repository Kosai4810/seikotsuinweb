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234a08519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ィア1候補" sheetId="1" r:id="R090fcc658d984ccf"/>
    <x:sheet xmlns:r="http://schemas.openxmlformats.org/officeDocument/2006/relationships" name="運用ルール" sheetId="2" r:id="R0a2420df860f4eda"/>
    <x:sheet xmlns:r="http://schemas.openxmlformats.org/officeDocument/2006/relationships" name="調査根拠" sheetId="3" r:id="R6c3a8b00cbdb4c1c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<x:sst xmlns:x="http://schemas.openxmlformats.org/spreadsheetml/2006/main">
  <x:si>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</x:si>
  <x:si>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ティア</x:t>
  </x:si>
  <x:si>
    <x:t xml:space="preserve">HP分類</x:t>
  </x:si>
  <x:si>
    <x:t xml:space="preserve">院名</x:t>
  </x:si>
  <x:si>
    <x:t xml:space="preserve">都道府県</x:t>
  </x:si>
  <x:si>
    <x:t xml:space="preserve">市区町村</x:t>
  </x:si>
  <x:si>
    <x:t xml:space="preserve">住所</x:t>
  </x:si>
  <x:si>
    <x:t xml:space="preserve">開業・届出日</x:t>
  </x:si>
  <x:si>
    <x:t xml:space="preserve">経過月数</x:t>
  </x:si>
  <x:si>
    <x:t xml:space="preserve">判定確度</x:t>
  </x:si>
  <x:si>
    <x:t xml:space="preserve">Web状況</x:t>
  </x:si>
  <x:si>
    <x:t xml:space="preserve">連絡方法</x:t>
  </x:si>
  <x:si>
    <x:t xml:space="preserve">メールアドレス</x:t>
  </x:si>
  <x:si>
    <x:t xml:space="preserve">確認した特徴</x:t>
  </x:si>
  <x:si>
    <x:t xml:space="preserve">提案内容</x:t>
  </x:si>
  <x:si>
    <x:t xml:space="preserve">初回メール件名・本文</x:t>
  </x:si>
  <x:si>
    <x:t xml:space="preserve">追客メール本文</x:t>
  </x:si>
  <x:si>
    <x:t xml:space="preserve">初回送信日</x:t>
  </x:si>
  <x:si>
    <x:t xml:space="preserve">追客予定日</x:t>
  </x:si>
  <x:si>
    <x:t xml:space="preserve">送信回数</x:t>
  </x:si>
  <x:si>
    <x:t xml:space="preserve">返信状況</x:t>
  </x:si>
  <x:si>
    <x:t xml:space="preserve">送信禁止</x:t>
  </x:si>
  <x:si>
    <x:t xml:space="preserve">判定理由・注意</x:t>
  </x:si>
  <x:si>
    <x:t xml:space="preserve">根拠URL</x:t>
  </x:si>
  <x:si>
    <x:t xml:space="preserve">C</x:t>
  </x:si>
  <x:si>
    <x:t xml:space="preserve">SAIKI整骨院</x:t>
  </x:si>
  <x:si>
    <x:t xml:space="preserve">大阪府</x:t>
  </x:si>
  <x:si>
    <x:t xml:space="preserve">寝屋川市</x:t>
  </x:si>
  <x:si>
    <x:t xml:space="preserve">香里新町15-12</x:t>
  </x:si>
  <x:si>
    <x:t xml:space="preserve">高</x:t>
  </x:si>
  <x:si>
    <x:t xml:space="preserve">独自HP未確認（Instagram・LINE中心）</x:t>
  </x:si>
  <x:si>
    <x:t xml:space="preserve">Instagramまたは公式LINE</x:t>
  </x:si>
  <x:si>
    <x:t xml:space="preserve">未確認</x:t>
  </x:si>
  <x:si>
    <x:t xml:space="preserve">10時〜22時。施術とトレーニングに対応し、アスリート特化型パーソナルトレーニングも案内。</x:t>
  </x:si>
  <x:si>
    <x:t xml:space="preserve">スポーツ外傷・施術・トレーニングを一つに整理した公式HP。競技別ページとLINE予約導線を設置。</x:t>
  </x:si>
  <x:si>
    <x:t xml:space="preserve">件名：【SAIKI整骨院様】開院後のWeb集客についてご提案です
SAIKI整骨院
ご担当者様
突然のご連絡失礼いたします。
整骨院・接骨院専門のホームページ制作サービス「整骨院web」を運営しております、WEBBRIOの柴藤と申します。
公開情報を拝見し、10時〜22時。施術とトレーニングに対応し、アスリート特化型パーソナルトレーニングも案内。
開院直後の今、施術内容・料金・スタッフ紹介・初診時の流れ・予約方法を一か所にまとめた公式ホームページがあると、GoogleマップやSNSで院を知った方へ安心感を伝えやすくなります。
SAIKI整骨院様の場合は、スポーツ外傷・施術・トレーニングを一つに整理した公式HP。競技別ページとLINE予約導線を設置。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ご関心がございましたら、SAIKI整骨院様向けのページ構成案を無料で作成いたします。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</x:si>
  <x:si>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件名：Re:【SAIKI整骨院様】開院後のWeb集客についてご提案です
SAIKI整骨院
ご担当者様
先日、ホームページ制作についてご連絡したWEBBRIOの柴藤です。
その後ご検討状況はいかがでしょうか。
SAIKI整骨院様向けに、必要なページ構成と予約導線の簡単な案を無料でお作りできます。ご興味がございましたら、このメールへ一言ご返信いただければ対応いたします。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</x:si>
  <x:si>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未送信</x:t>
  </x:si>
  <x:si>
    <x:t xml:space="preserve">いいえ</x:t>
  </x:si>
  <x:si>
    <x:t xml:space="preserve">開業・届出から半年未満。独自HPの有無と連絡先を送信直前に再確認。</x:t>
  </x:si>
  <x:si>
    <x:t xml:space="preserve">https://www.neyagawa-np.jp/open-close/saiki-20260507.html</x:t>
  </x:si>
  <x:si>
    <x:t xml:space="preserve">谷六からほり整骨院</x:t>
  </x:si>
  <x:si>
    <x:t xml:space="preserve">大阪市中央区</x:t>
  </x:si>
  <x:si>
    <x:t xml:space="preserve">上本町西2丁目4-17</x:t>
  </x:si>
  <x:si>
    <x:t xml:space="preserve">低・開業日要確認</x:t>
  </x:si>
  <x:si>
    <x:t xml:space="preserve">独自HP未確認（エキテン中心）</x:t>
  </x:si>
  <x:si>
    <x:t xml:space="preserve">エキテンのネット予約・電話</x:t>
  </x:si>
  <x:si>
    <x:t xml:space="preserve">2026年1月オープン表記。日祝営業、保険施術に加え、もみほぐしや姿勢の悩みにも対応。</x:t>
  </x:si>
  <x:si>
    <x:t xml:space="preserve">保険施術と自費施術の違い、料金、初診の流れを公式HPに整理。Googleマップと予約導線を強化。</x:t>
  </x:si>
  <x:si>
    <x:t xml:space="preserve">件名：【谷六からほり整骨院様】開院後のWeb集客についてご提案です
谷六からほり整骨院
ご担当者様
突然のご連絡失礼いたします。
整骨院・接骨院専門のホームページ制作サービス「整骨院web」を運営しております、WEBBRIOの柴藤と申します。
公開情報を拝見し、2026年1月オープン表記。日祝営業、保険施術に加え、もみほぐしや姿勢の悩みにも対応。
開院直後の今、施術内容・料金・スタッフ紹介・初診時の流れ・予約方法を一か所にまとめた公式ホームページがあると、GoogleマップやSNSで院を知った方へ安心感を伝えやすくなります。
谷六からほり整骨院様の場合は、保険施術と自費施術の違い、料金、初診の流れを公式HPに整理。Googleマップと予約導線を強化。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ご関心がございましたら、谷六からほり整骨院様向けのページ構成案を無料で作成いたします。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</x:si>
  <x:si>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件名：Re:【谷六からほり整骨院様】開院後のWeb集客についてご提案です
谷六からほり整骨院
ご担当者様
先日、ホームページ制作についてご連絡したWEBBRIOの柴藤です。
その後ご検討状況はいかがでしょうか。
谷六からほり整骨院様向けに、必要なページ構成と予約導線の簡単な案を無料でお作りできます。ご興味がございましたら、このメールへ一言ご返信いただければ対応いたします。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</x:si>
  <x:si>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2026年1月オープン表記のみ。具体的な開業日を特定し、半年未満と確認できた場合のみ送信。</x:t>
  </x:si>
  <x:si>
    <x:t xml:space="preserve">https://www.ekiten.jp/shop_70252717/</x:t>
  </x:si>
  <x:si>
    <x:t xml:space="preserve">香里園たいじゅ整骨院</x:t>
  </x:si>
  <x:si>
    <x:t xml:space="preserve">香里新町26-3 香里メディカルビル1F</x:t>
  </x:si>
  <x:si>
    <x:t xml:space="preserve">独自HP未確認（Hot Pepper・地域記事中心）</x:t>
  </x:si>
  <x:si>
    <x:t xml:space="preserve">Hot Pepper予約・Instagram・LINE</x:t>
  </x:si>
  <x:si>
    <x:t xml:space="preserve">院長・副院長ともスポーツ経験があり、最新機器と担当制のオーダーメイド施術を案内。</x:t>
  </x:si>
  <x:si>
    <x:t xml:space="preserve">最新機器の特徴、2名の国家資格者、スポーツ対応を公式HPで可視化。症状別ページとLINE予約を設置。</x:t>
  </x:si>
  <x:si>
    <x:t xml:space="preserve">件名：【香里園たいじゅ整骨院様】開院後のWeb集客についてご提案です
香里園たいじゅ整骨院
ご担当者様
突然のご連絡失礼いたします。
整骨院・接骨院専門のホームページ制作サービス「整骨院web」を運営しております、WEBBRIOの柴藤と申します。
公開情報を拝見し、院長・副院長ともスポーツ経験があり、最新機器と担当制のオーダーメイド施術を案内。
開院直後の今、施術内容・料金・スタッフ紹介・初診時の流れ・予約方法を一か所にまとめた公式ホームページがあると、GoogleマップやSNSで院を知った方へ安心感を伝えやすくなります。
香里園たいじゅ整骨院様の場合は、最新機器の特徴、2名の国家資格者、スポーツ対応を公式HPで可視化。症状別ページとLINE予約を設置。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ご関心がございましたら、香里園たいじゅ整骨院様向けのページ構成案を無料で作成いたします。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</x:si>
  <x:si>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件名：Re:【香里園たいじゅ整骨院様】開院後のWeb集客についてご提案です
香里園たいじゅ整骨院
ご担当者様
先日、ホームページ制作についてご連絡したWEBBRIOの柴藤です。
その後ご検討状況はいかがでしょうか。
香里園たいじゅ整骨院様向けに、必要なページ構成と予約導線の簡単な案を無料でお作りできます。ご興味がございましたら、このメールへ一言ご返信いただければ対応いたします。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</x:si>
  <x:si>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https://neyagawa.goguynet.jp/2026/06/08/taiju_seikotsu/</x:t>
  </x:si>
  <x:si>
    <x:t xml:space="preserve">with.鍼灸整骨院 西明石院</x:t>
  </x:si>
  <x:si>
    <x:t xml:space="preserve">兵庫県</x:t>
  </x:si>
  <x:si>
    <x:t xml:space="preserve">明石市</x:t>
  </x:si>
  <x:si>
    <x:t xml:space="preserve">和坂13-5 プラスパ西明石102</x:t>
  </x:si>
  <x:si>
    <x:t xml:space="preserve">中</x:t>
  </x:si>
  <x:si>
    <x:t xml:space="preserve">院単独HP未確認（Instagram・地域記事中心）</x:t>
  </x:si>
  <x:si>
    <x:t xml:space="preserve">公式Instagram</x:t>
  </x:si>
  <x:si>
    <x:t xml:space="preserve">西明石駅近く。平日20時まで、土祝も受付。大阪中心の複数院グループの新院。</x:t>
  </x:si>
  <x:si>
    <x:t xml:space="preserve">西明石院固有のスタッフ・施術・アクセス情報をまとめた店舗ページ。地域検索と予約導線を強化。</x:t>
  </x:si>
  <x:si>
    <x:t xml:space="preserve">件名：【with.鍼灸整骨院 西明石院様】開院後のWeb集客についてご提案です
with.鍼灸整骨院 西明石院
ご担当者様
突然のご連絡失礼いたします。
整骨院・接骨院専門のホームページ制作サービス「整骨院web」を運営しております、WEBBRIOの柴藤と申します。
公開情報を拝見し、西明石駅近く。平日20時まで、土祝も受付。大阪中心の複数院グループの新院。
開院直後の今、施術内容・料金・スタッフ紹介・初診時の流れ・予約方法を一か所にまとめた公式ホームページがあると、GoogleマップやSNSで院を知った方へ安心感を伝えやすくなります。
with.鍼灸整骨院 西明石院様の場合は、西明石院固有のスタッフ・施術・アクセス情報をまとめた店舗ページ。地域検索と予約導線を強化。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ご関心がございましたら、with.鍼灸整骨院 西明石院様向けのページ構成案を無料で作成いたします。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</x:si>
  <x:si>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件名：Re:【with.鍼灸整骨院 西明石院様】開院後のWeb集客についてご提案です
with.鍼灸整骨院 西明石院
ご担当者様
先日、ホームページ制作についてご連絡したWEBBRIOの柴藤です。
その後ご検討状況はいかがでしょうか。
with.鍼灸整骨院 西明石院様向けに、必要なページ構成と予約導線の簡単な案を無料でお作りできます。ご興味がございましたら、このメールへ一言ご返信いただければ対応いたします。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</x:si>
  <x:si>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https://akashi-journal.com/openclose/with-seikotsuin-nishiakashi/</x:t>
  </x:si>
  <x:si>
    <x:t xml:space="preserve">がいし鍼灸院・接骨院</x:t>
  </x:si>
  <x:si>
    <x:t xml:space="preserve">広島県</x:t>
  </x:si>
  <x:si>
    <x:t xml:space="preserve">広島市安佐南区</x:t>
  </x:si>
  <x:si>
    <x:t xml:space="preserve">伴東2丁目3-13</x:t>
  </x:si>
  <x:si>
    <x:t xml:space="preserve">公開検索で独自HP未確認</x:t>
  </x:si>
  <x:si>
    <x:t xml:space="preserve">公開連絡先を要確認</x:t>
  </x:si>
  <x:si>
    <x:t xml:space="preserve">広島市の公表資料で、2026年4月1日に柔道整復・鍼灸の開設届を確認。</x:t>
  </x:si>
  <x:si>
    <x:t xml:space="preserve">開院情報、施術内容、院長紹介、料金、予約方法をまとめる初期公式HP。Googleビジネスプロフィールと連携。</x:t>
  </x:si>
  <x:si>
    <x:t xml:space="preserve">件名：【がいし鍼灸院・接骨院様】開院後のWeb集客についてご提案です
がいし鍼灸院・接骨院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公開情報を拝見し、広島市の公表資料で、2026年4月1日に柔道整復・鍼灸の開設届を確認。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がいし鍼灸院・接骨院様の場合は、開院情報、施術内容、院長紹介、料金、予約方法をまとめる初期公式HP。Googleビジネスプロフィールと連携。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ご関心がございましたら、がいし鍼灸院・接骨院様向けのページ構成案を無料で作成いたします。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</x:si>
  <x:si>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件名：Re:【がいし鍼灸院・接骨院様】開院後のWeb集客についてご提案です
がいし鍼灸院・接骨院
ご担当者様
先日、ホームページ制作についてご連絡したWEBBRIOの柴藤です。
その後ご検討状況はいかがでしょうか。
がいし鍼灸院・接骨院様向けに、必要なページ構成と予約導線の簡単な案を無料でお作りできます。ご興味がございましたら、このメールへ一言ご返信いただければ対応いたします。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</x:si>
  <x:si>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https://www.city.hiroshima.lg.jp/_res/projects/default_project/_page_/001/020/223/r804.pdf</x:t>
  </x:si>
  <x:si>
    <x:t xml:space="preserve">ひさもり鍼灸・整骨院</x:t>
  </x:si>
  <x:si>
    <x:t xml:space="preserve">上安2丁目16-18-101</x:t>
  </x:si>
  <x:si>
    <x:t xml:space="preserve">上安周辺の地域検索を意識した公式HP。対応症状、初診案内、院内写真、予約手段を明確化。</x:t>
  </x:si>
  <x:si>
    <x:t xml:space="preserve">件名：【ひさもり鍼灸・整骨院様】開院後のWeb集客についてご提案です
ひさもり鍼灸・整骨院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公開情報を拝見し、広島市の公表資料で、2026年4月1日に柔道整復・鍼灸の開設届を確認。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ひさもり鍼灸・整骨院様の場合は、上安周辺の地域検索を意識した公式HP。対応症状、初診案内、院内写真、予約手段を明確化。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ご関心がございましたら、ひさもり鍼灸・整骨院様向けのページ構成案を無料で作成いたします。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</x:si>
  <x:si>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件名：Re:【ひさもり鍼灸・整骨院様】開院後のWeb集客についてご提案です
ひさもり鍼灸・整骨院
ご担当者様
先日、ホームページ制作についてご連絡したWEBBRIOの柴藤です。
その後ご検討状況はいかがでしょうか。
ひさもり鍼灸・整骨院様向けに、必要なページ構成と予約導線の簡単な案を無料でお作りできます。ご興味がございましたら、このメールへ一言ご返信いただければ対応いたします。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</x:si>
  <x:si>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なぎさ接骨院・鍼灸院</x:t>
  </x:si>
  <x:si>
    <x:t xml:space="preserve">広島市東区</x:t>
  </x:si>
  <x:si>
    <x:t xml:space="preserve">牛田本町2丁目8-5</x:t>
  </x:si>
  <x:si>
    <x:t xml:space="preserve">広島市の公表資料で、2026年4月27日に柔道整復・鍼灸の開設届を確認。</x:t>
  </x:si>
  <x:si>
    <x:t xml:space="preserve">接骨と鍼灸の使い分け、料金、初診の流れを分かりやすく掲載。牛田本町の地域SEOを整備。</x:t>
  </x:si>
  <x:si>
    <x:t xml:space="preserve">件名：【なぎさ接骨院・鍼灸院様】開院後のWeb集客についてご提案です
なぎさ接骨院・鍼灸院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公開情報を拝見し、広島市の公表資料で、2026年4月27日に柔道整復・鍼灸の開設届を確認。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なぎさ接骨院・鍼灸院様の場合は、接骨と鍼灸の使い分け、料金、初診の流れを分かりやすく掲載。牛田本町の地域SEOを整備。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ご関心がございましたら、なぎさ接骨院・鍼灸院様向けのページ構成案を無料で作成いたします。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</x:si>
  <x:si>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件名：Re:【なぎさ接骨院・鍼灸院様】開院後のWeb集客についてご提案です
なぎさ接骨院・鍼灸院
ご担当者様
先日、ホームページ制作についてご連絡したWEBBRIOの柴藤です。
その後ご検討状況はいかがでしょうか。
なぎさ接骨院・鍼灸院様向けに、必要なページ構成と予約導線の簡単な案を無料でお作りできます。ご興味がございましたら、このメールへ一言ご返信いただければ対応いたします。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</x:si>
  <x:si>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みやび整骨院</x:t>
  </x:si>
  <x:si>
    <x:t xml:space="preserve">毘沙門台2丁目41-31</x:t>
  </x:si>
  <x:si>
    <x:t xml:space="preserve">広島市の公表資料で、2026年2月25日に柔道整復の開設届を確認。</x:t>
  </x:si>
  <x:si>
    <x:t xml:space="preserve">院の特徴が検索上で判別できる公式HP。院長紹介、対応内容、受付時間、アクセスを優先して整備。</x:t>
  </x:si>
  <x:si>
    <x:t xml:space="preserve">件名：【みやび整骨院様】開院後のWeb集客についてご提案です
みやび整骨院
ご担当者様
突然のご連絡失礼いたします。
整骨院・接骨院専門のホームページ制作サービス「整骨院web」を運営しております、WEBBRIOの柴藤と申します。
公開情報を拝見し、広島市の公表資料で、2026年2月25日に柔道整復の開設届を確認。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みやび整骨院様の場合は、院の特徴が検索上で判別できる公式HP。院長紹介、対応内容、受付時間、アクセスを優先して整備。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ご関心がございましたら、みやび整骨院様向けのページ構成案を無料で作成いたします。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</x:si>
  <x:si>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件名：Re:【みやび整骨院様】開院後のWeb集客についてご提案です
みやび整骨院
ご担当者様
先日、ホームページ制作についてご連絡したWEBBRIOの柴藤です。
その後ご検討状況はいかがでしょうか。
みやび整骨院様向けに、必要なページ構成と予約導線の簡単な案を無料でお作りできます。ご興味がございましたら、このメールへ一言ご返信いただければ対応いたします。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</x:si>
  <x:si>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https://www.city.hiroshima.lg.jp/_res/projects/default_project/_page_/001/020/223/r802.pdf</x:t>
  </x:si>
  <x:si>
    <x:t xml:space="preserve">ひろがる接骨院・鍼灸院 広島スタジアム前院</x:t>
  </x:si>
  <x:si>
    <x:t xml:space="preserve">広島市南区</x:t>
  </x:si>
  <x:si>
    <x:t xml:space="preserve">南蟹屋1丁目1-25</x:t>
  </x:si>
  <x:si>
    <x:t xml:space="preserve">院単独HPを要確認</x:t>
  </x:si>
  <x:si>
    <x:t xml:space="preserve">運営会社または店舗連絡先を要確認</x:t>
  </x:si>
  <x:si>
    <x:t xml:space="preserve">広島市の公表資料で、2026年2月20日から24日に柔道整復・鍼灸の開設届を確認。</x:t>
  </x:si>
  <x:si>
    <x:t xml:space="preserve">スタジアム前の立地、スポーツ対応、鍼灸・接骨の違いを店舗ページで訴求。来院予約までの導線を短縮。</x:t>
  </x:si>
  <x:si>
    <x:t xml:space="preserve">件名：【ひろがる接骨院・鍼灸院 広島スタジアム前院様】開院後のWeb集客についてご提案です
ひろがる接骨院・鍼灸院 広島スタジアム前院
ご担当者様
突然のご連絡失礼いたします。
整骨院・接骨院専門のホームページ制作サービス「整骨院web」を運営しております、WEBBRIOの柴藤と申します。
公開情報を拝見し、広島市の公表資料で、2026年2月20日から24日に柔道整復・鍼灸の開設届を確認。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ひろがる接骨院・鍼灸院 広島スタジアム前院様の場合は、スタジアム前の立地、スポーツ対応、鍼灸・接骨の違いを店舗ページで訴求。来院予約までの導線を短縮。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ご関心がございましたら、ひろがる接骨院・鍼灸院 広島スタジアム前院様向けのページ構成案を無料で作成いたします。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</x:si>
  <x:si>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件名：Re:【ひろがる接骨院・鍼灸院 広島スタジアム前院様】開院後のWeb集客についてご提案です
ひろがる接骨院・鍼灸院 広島スタジアム前院
ご担当者様
先日、ホームページ制作についてご連絡したWEBBRIOの柴藤です。
その後ご検討状況はいかがでしょうか。
ひろがる接骨院・鍼灸院 広島スタジアム前院様向けに、必要なページ構成と予約導線の簡単な案を無料でお作りできます。ご興味がございましたら、このメールへ一言ご返信いただければ対応いたします。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</x:si>
  <x:si>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ヤマニシ鍼灸整骨院（鶴見町新所在地）</x:t>
  </x:si>
  <x:si>
    <x:t xml:space="preserve">広島市中区</x:t>
  </x:si>
  <x:si>
    <x:t xml:space="preserve">鶴見町11-8-606</x:t>
  </x:si>
  <x:si>
    <x:t xml:space="preserve">低・移転等要確認</x:t>
  </x:si>
  <x:si>
    <x:t xml:space="preserve">独自HP未確認（既存掲載情報あり）</x:t>
  </x:si>
  <x:si>
    <x:t xml:space="preserve">電話 082-542-9321</x:t>
  </x:si>
  <x:si>
    <x:t xml:space="preserve">広島市資料で2026年1月5日の開設届。過去の別住所掲載があるため、新規開業か移転かを送信前に確認必須。</x:t>
  </x:si>
  <x:si>
    <x:t xml:space="preserve">新所在地・受付情報を正確に案内する公式HP。旧住所情報の混在解消とGoogleマップ整備を優先。</x:t>
  </x:si>
  <x:si>
    <x:t xml:space="preserve">件名：【ヤマニシ鍼灸整骨院（鶴見町新所在地）様】開院後のWeb集客についてご提案です
ヤマニシ鍼灸整骨院（鶴見町新所在地）
ご担当者様
突然のご連絡失礼いたします。
整骨院・接骨院専門のホームページ制作サービス「整骨院web」を運営しております、WEBBRIOの柴藤と申します。
公開情報を拝見し、広島市資料で2026年1月5日の開設届。過去の別住所掲載があるため、新規開業か移転かを送信前に確認必須。
開院直後の今、施術内容・料金・スタッフ紹介・初診時の流れ・予約方法を一か所にまとめた公式ホームページがあると、GoogleマップやSNSで院を知った方へ安心感を伝えやすくなります。
ヤマニシ鍼灸整骨院（鶴見町新所在地）様の場合は、新所在地・受付情報を正確に案内する公式HP。旧住所情報の混在解消とGoogleマップ整備を優先。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ご関心がございましたら、ヤマニシ鍼灸整骨院（鶴見町新所在地）様向けのページ構成案を無料で作成いたします。
https://seikotsuinweb.com/
不要でしたらご返信は不要です。今後のご案内停止をご希望の場合は、その旨をお知らせください。
WEBBRIO
柴藤 嵩斎</x:t>
  </x:si>
  <x:si>
    <x:t xml:space="preserve">件名：Re:【ヤマニシ鍼灸整骨院（鶴見町新所在地）様】開院後のWeb集客についてご提案です
ヤマニシ鍼灸整骨院（鶴見町新所在地）
ご担当者様
先日、ホームページ制作についてご連絡したWEBBRIOの柴藤です。
その後ご検討状況はいかがでしょうか。
ヤマニシ鍼灸整骨院（鶴見町新所在地）様向けに、必要なページ構成と予約導線の簡単な案を無料でお作りできます。ご興味がございましたら、このメールへ一言ご返信いただければ対応いたします。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x:t>
  </x:si>
  <x:si>
    <x:t xml:space="preserve">開業・届出から半年未満。新規開業か移転かを必ず再確認。</x:t>
  </x:si>
  <x:si>
    <x:t xml:space="preserve">https://www.city.hiroshima.lg.jp/_res/projects/default_project/_page_/001/020/223/r801.pdf</x:t>
  </x:si>
  <x:si>
    <x:t xml:space="preserve">整骨院web 営業リスト運用ルール</x:t>
  </x:si>
  <x:si>
    <x:t xml:space="preserve">項目</x:t>
  </x:si>
  <x:si>
    <x:t xml:space="preserve">ルール</x:t>
  </x:si>
  <x:si>
    <x:t xml:space="preserve">ティア1</x:t>
  </x:si>
  <x:si>
    <x:t xml:space="preserve">開業半年未満かつ独自HPがないC。今回の一覧は公開情報による候補で、送信直前に再確認する。</x:t>
  </x:si>
  <x:si>
    <x:t xml:space="preserve">初回送信</x:t>
  </x:si>
  <x:si>
    <x:t xml:space="preserve">個別調査済みの本文だけを使用。宛先・院名・事実関係を確認してから送信。</x:t>
  </x:si>
  <x:si>
    <x:t xml:space="preserve">追客</x:t>
  </x:si>
  <x:si>
    <x:t xml:space="preserve">返信がない場合のみ7日後を目安に1回まで。</x:t>
  </x:si>
  <x:si>
    <x:t xml:space="preserve">最大2回（初回1回＋追客1回）。</x:t>
  </x:si>
  <x:si>
    <x:t xml:space="preserve">拒否・配信停止依頼・閉院・連絡先誤りは即「はい」。以後送らない。</x:t>
  </x:si>
  <x:si>
    <x:t xml:space="preserve">電話</x:t>
  </x:si>
  <x:si>
    <x:t xml:space="preserve">公開電話番号は患者予約用の可能性があるため、営業電話には原則使用しない。</x:t>
  </x:si>
  <x:si>
    <x:t xml:space="preserve">公開メール</x:t>
  </x:si>
  <x:si>
    <x:t xml:space="preserve">営業利用を禁止している掲載ページの連絡先は使用しない。</x:t>
  </x:si>
  <x:si>
    <x:t xml:space="preserve">事実確認</x:t>
  </x:si>
  <x:si>
    <x:t xml:space="preserve">開業日、独自HPの有無、院名、所在地、連絡経路を送信当日に再確認。</x:t>
  </x:si>
  <x:si>
    <x:t xml:space="preserve">下書き保存</x:t>
  </x:si>
  <x:si>
    <x:t xml:space="preserve">Gmailに作成する内容とExcelの初回・追客本文を一致させる。</x:t>
  </x:si>
  <x:si>
    <x:t xml:space="preserve">根拠区分</x:t>
  </x:si>
  <x:si>
    <x:t xml:space="preserve">HP判定</x:t>
  </x:si>
  <x:si>
    <x:t xml:space="preserve">送信前確認</x:t>
  </x:si>
  <x:si>
    <x:t xml:space="preserve">地域記事・施設掲載</x:t>
  </x:si>
  <x:si>
    <x:t xml:space="preserve">独自HP・開業実態・連絡先を当日確認</x:t>
  </x:si>
  <x:si>
    <x:t xml:space="preserve">開業日の特定後に送信対象へ確定</x:t>
  </x:si>
  <x:si>
    <x:t xml:space="preserve">自治体の開設届公表資料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</x:si>
</x:sst>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A2620"/>
      <x:name val="Carlito"/>
    </x:font>
    <x:font>
      <x:b/>
      <x:sz val="11"/>
      <x:color rgb="FF806334"/>
      <x:name val="Carlito"/>
    </x:font>
    <x:font>
      <x:b/>
      <x:sz val="18"/>
      <x:color rgb="FFFFFFFF"/>
      <x:name val="Carlito"/>
    </x:font>
    <x:font>
      <x:sz val="11"/>
      <x:name val="Carlito"/>
    </x:font>
    <x:font>
      <x:sz val="6"/>
      <x:name val="Tsukushi A Round Gothic Bold"/>
    </x:font>
  </x:fonts>
  <x:fills count="5">
    <x:fill>
      <x:patternFill patternType="none"/>
    </x:fill>
    <x:fill>
      <x:patternFill patternType="gray125"/>
    </x:fill>
    <x:fill>
      <x:patternFill patternType="solid">
        <x:fgColor rgb="FF806334"/>
      </x:patternFill>
    </x:fill>
    <x:fill>
      <x:patternFill patternType="solid">
        <x:fgColor rgb="FFF2E6CC"/>
      </x:patternFill>
    </x:fill>
    <x:fill>
      <x:patternFill patternType="solid">
        <x:fgColor rgb="FFA88750"/>
      </x:patternFill>
    </x:fill>
  </x:fills>
  <x:borders count="5">
    <x:border/>
    <x:border>
      <x:bottom style="thin">
        <x:color rgb="FFDDD4C5"/>
      </x:bottom>
    </x:border>
    <x:border>
      <x:top style="thin">
        <x:color rgb="FFDDD4C5"/>
      </x:top>
      <x:bottom style="thin">
        <x:color rgb="FFDDD4C5"/>
      </x:bottom>
    </x:border>
    <x:border>
      <x:top style="thin">
        <x:color rgb="FFDDD4C5"/>
      </x:top>
      <x:bottom style="thin">
        <x:color rgb="FFB8A98F"/>
      </x:bottom>
    </x:border>
    <x:border>
      <x:top style="thin">
        <x:color rgb="FFDDD4C5"/>
      </x:top>
    </x:border>
  </x:borders>
  <x:cellStyleXfs count="2">
    <x:xf numFmtId="0" fontId="0" fillId="0" borderId="0"/>
    <x:xf numFmtId="0" fontId="5" fillId="0" borderId="0"/>
  </x:cellStyleXfs>
  <x:cellXfs count="25">
    <x:xf numFmtId="0" fontId="0" fillId="0" borderId="0" xfId="0"/>
    <x:xf numFmtId="0" fontId="1" fillId="2" borderId="1" xfId="1" applyFont="1" applyFill="1" applyBorder="1" applyAlignment="1">
      <x:alignment vertical="center" wrapText="1"/>
    </x:xf>
    <x:xf numFmtId="0" fontId="2" fillId="0" borderId="2" xfId="1" applyFont="1" applyBorder="1" applyAlignment="1">
      <x:alignment vertical="top"/>
    </x:xf>
    <x:xf numFmtId="176" fontId="2" fillId="0" borderId="2" xfId="1" applyNumberFormat="1" applyFont="1" applyBorder="1" applyAlignment="1">
      <x:alignment vertical="top"/>
    </x:xf>
    <x:xf numFmtId="0" fontId="2" fillId="0" borderId="2" xfId="1" applyFont="1" applyBorder="1" applyAlignment="1">
      <x:alignment vertical="top" wrapText="1"/>
    </x:xf>
    <x:xf numFmtId="0" fontId="2" fillId="0" borderId="3" xfId="1" applyFont="1" applyBorder="1" applyAlignment="1">
      <x:alignment vertical="top"/>
    </x:xf>
    <x:xf numFmtId="176" fontId="2" fillId="0" borderId="3" xfId="1" applyNumberFormat="1" applyFont="1" applyBorder="1" applyAlignment="1">
      <x:alignment vertical="top"/>
    </x:xf>
    <x:xf numFmtId="0" fontId="2" fillId="0" borderId="3" xfId="1" applyFont="1" applyBorder="1" applyAlignment="1">
      <x:alignment vertical="top" wrapText="1"/>
    </x:xf>
    <x:xf numFmtId="0" fontId="3" fillId="3" borderId="2" xfId="1" applyFont="1" applyFill="1" applyBorder="1" applyAlignment="1">
      <x:alignment horizontal="center" vertical="top"/>
    </x:xf>
    <x:xf numFmtId="0" fontId="3" fillId="3" borderId="3" xfId="1" applyFont="1" applyFill="1" applyBorder="1" applyAlignment="1">
      <x:alignment horizontal="center" vertical="top"/>
    </x:xf>
    <x:xf numFmtId="0" fontId="2" fillId="0" borderId="2" xfId="1" applyFont="1" applyBorder="1" applyAlignment="1">
      <x:alignment horizontal="center" vertical="top"/>
    </x:xf>
    <x:xf numFmtId="0" fontId="2" fillId="0" borderId="3" xfId="1" applyFont="1" applyBorder="1" applyAlignment="1">
      <x:alignment horizontal="center" vertical="top"/>
    </x:xf>
    <x:xf numFmtId="176" fontId="2" fillId="0" borderId="2" xfId="1" applyNumberFormat="1" applyFont="1" applyBorder="1" applyAlignment="1">
      <x:alignment horizontal="center" vertical="top"/>
    </x:xf>
    <x:xf numFmtId="0" fontId="2" fillId="0" borderId="2" xfId="1" applyFont="1" applyBorder="1" applyAlignment="1">
      <x:alignment horizontal="center" vertical="top" wrapText="1"/>
    </x:xf>
    <x:xf numFmtId="176" fontId="2" fillId="0" borderId="3" xfId="1" applyNumberFormat="1" applyFont="1" applyBorder="1" applyAlignment="1">
      <x:alignment horizontal="center" vertical="top"/>
    </x:xf>
    <x:xf numFmtId="0" fontId="2" fillId="0" borderId="3" xfId="1" applyFont="1" applyBorder="1" applyAlignment="1">
      <x:alignment horizontal="center" vertical="top" wrapText="1"/>
    </x:xf>
    <x:xf numFmtId="0" fontId="1" fillId="4" borderId="1" xfId="1" applyFont="1" applyFill="1" applyBorder="1"/>
    <x:xf numFmtId="0" fontId="0" fillId="0" borderId="2" xfId="1" applyFont="1" applyBorder="1" applyAlignment="1">
      <x:alignment wrapText="1"/>
    </x:xf>
    <x:xf numFmtId="0" fontId="0" fillId="0" borderId="4" xfId="1" applyFont="1" applyBorder="1" applyAlignment="1">
      <x:alignment wrapText="1"/>
    </x:xf>
    <x:xf numFmtId="0" fontId="1" fillId="2" borderId="1" xfId="1" applyFont="1" applyFill="1" applyBorder="1" applyAlignment="1">
      <x:alignment wrapText="1"/>
    </x:xf>
    <x:xf numFmtId="176" fontId="0" fillId="0" borderId="2" xfId="1" applyNumberFormat="1" applyFont="1" applyBorder="1" applyAlignment="1">
      <x:alignment wrapText="1"/>
    </x:xf>
    <x:xf numFmtId="176" fontId="0" fillId="0" borderId="4" xfId="1" applyNumberFormat="1" applyFont="1" applyBorder="1" applyAlignment="1">
      <x:alignment wrapText="1"/>
    </x:xf>
    <x:xf numFmtId="0" fontId="4" fillId="2" borderId="0" xfId="1" applyFont="1" applyFill="1" applyAlignment="1">
      <x:alignment horizontal="left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61f69bc3c416c" /><Relationship Type="http://schemas.openxmlformats.org/officeDocument/2006/relationships/theme" Target="/xl/theme/theme1.xml" Id="R3acd0d3a86264889" /><Relationship Type="http://schemas.openxmlformats.org/officeDocument/2006/relationships/sharedStrings" Target="/xl/sharedStrings.xml" Id="R9e093d11af704de8" /><Relationship Type="http://schemas.openxmlformats.org/officeDocument/2006/relationships/worksheet" Target="/xl/worksheets/sheet1.xml" Id="R090fcc658d984ccf" /><Relationship Type="http://schemas.openxmlformats.org/officeDocument/2006/relationships/worksheet" Target="/xl/worksheets/sheet2.xml" Id="R0a2420df860f4eda" /><Relationship Type="http://schemas.openxmlformats.org/officeDocument/2006/relationships/worksheet" Target="/xl/worksheets/sheet3.xml" Id="R6c3a8b00cbdb4c1c" /></Relationships>
</file>

<file path=xl/tables/table1.xml><?xml version="1.0" encoding="utf-8"?>
<x:table xmlns:x="http://schemas.openxmlformats.org/spreadsheetml/2006/main" id="1" name="Tier1Leads" displayName="Tier1Leads" ref="A1:X11" totalsRowShown="0">
  <x:tableColumns count="24">
    <x:tableColumn id="1" name="No."/>
    <x:tableColumn id="2" name="ティア"/>
    <x:tableColumn id="3" name="HP分類"/>
    <x:tableColumn id="4" name="院名"/>
    <x:tableColumn id="5" name="都道府県"/>
    <x:tableColumn id="6" name="市区町村"/>
    <x:tableColumn id="7" name="住所"/>
    <x:tableColumn id="8" name="開業・届出日"/>
    <x:tableColumn id="9" name="経過月数"/>
    <x:tableColumn id="10" name="判定確度"/>
    <x:tableColumn id="11" name="Web状況"/>
    <x:tableColumn id="12" name="連絡方法"/>
    <x:tableColumn id="13" name="メールアドレス"/>
    <x:tableColumn id="14" name="確認した特徴"/>
    <x:tableColumn id="15" name="提案内容"/>
    <x:tableColumn id="16" name="初回メール件名・本文"/>
    <x:tableColumn id="17" name="追客メール本文"/>
    <x:tableColumn id="18" name="初回送信日"/>
    <x:tableColumn id="19" name="追客予定日"/>
    <x:tableColumn id="20" name="送信回数"/>
    <x:tableColumn id="21" name="返信状況"/>
    <x:tableColumn id="22" name="送信禁止"/>
    <x:tableColumn id="23" name="判定理由・注意"/>
    <x:tableColumn id="24" name="根拠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" displayName="SourceEvidence" ref="A1:G11" totalsRowShown="0">
  <x:tableColumns count="7">
    <x:tableColumn id="1" name="No."/>
    <x:tableColumn id="2" name="院名"/>
    <x:tableColumn id="3" name="開業・届出日"/>
    <x:tableColumn id="4" name="根拠区分"/>
    <x:tableColumn id="5" name="根拠URL"/>
    <x:tableColumn id="6" name="HP判定"/>
    <x:tableColumn id="7" name="送信前確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ad26c98d9c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c57b6fb7b46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7" customWidth="1"/>
    <x:col min="3" max="3" width="9" customWidth="1"/>
    <x:col min="4" max="4" width="27" customWidth="1"/>
    <x:col min="5" max="5" width="11" customWidth="1"/>
    <x:col min="6" max="6" width="15" customWidth="1"/>
    <x:col min="7" max="7" width="28" customWidth="1"/>
    <x:col min="8" max="8" width="13" customWidth="1"/>
    <x:col min="9" max="9" width="10" customWidth="1"/>
    <x:col min="10" max="10" width="17" customWidth="1"/>
    <x:col min="11" max="11" width="30" customWidth="1"/>
    <x:col min="12" max="12" width="24" customWidth="1"/>
    <x:col min="13" max="13" width="26" customWidth="1"/>
    <x:col min="14" max="14" width="45" customWidth="1"/>
    <x:col min="15" max="15" width="48" customWidth="1"/>
    <x:col min="16" max="16" width="48" hidden="0" customWidth="1"/>
    <x:col min="17" max="17" width="48" hidden="0" customWidth="1"/>
    <x:col min="18" max="19" width="13" customWidth="1"/>
    <x:col min="20" max="20" width="10" customWidth="1"/>
    <x:col min="21" max="21" width="13" customWidth="1"/>
    <x:col min="22" max="22" width="11" customWidth="1"/>
    <x:col min="23" max="23" width="38" customWidth="1"/>
    <x:col min="24" max="24" width="52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ht="475.20001220703125" hidden="0" customHeight="1">
      <x:c r="A2" s="10">
        <x:v>1</x:v>
      </x:c>
      <x:c r="B2" s="8">
        <x:v>1</x:v>
      </x:c>
      <x:c r="C2" s="8" t="s">
        <x:v>24</x:v>
      </x:c>
      <x:c r="D2" s="2" t="s">
        <x:v>25</x:v>
      </x:c>
      <x:c r="E2" s="2" t="s">
        <x:v>26</x:v>
      </x:c>
      <x:c r="F2" s="2" t="s">
        <x:v>27</x:v>
      </x:c>
      <x:c r="G2" s="2" t="s">
        <x:v>28</x:v>
      </x:c>
      <x:c r="H2" s="12">
        <x:v>46146</x:v>
      </x:c>
      <x:c r="I2" s="10" t="n">
        <x:f t="shared" ref="I2:I11" si="0">IF(H2="","",DATEDIF(H2,DATE(2026,7,3),"m"))</x:f>
        <x:v>1</x:v>
      </x:c>
      <x:c r="J2" s="13" t="s">
        <x:v>29</x:v>
      </x:c>
      <x:c r="K2" s="2" t="s">
        <x:v>30</x:v>
      </x:c>
      <x:c r="L2" s="2" t="s">
        <x:v>31</x:v>
      </x:c>
      <x:c r="M2" s="2" t="s">
        <x:v>32</x:v>
      </x:c>
      <x:c r="N2" s="4" t="s">
        <x:v>33</x:v>
      </x:c>
      <x:c r="O2" s="4" t="s">
        <x:v>34</x:v>
      </x:c>
      <x:c r="P2" s="23" t="s">
        <x:v>35</x:v>
      </x:c>
      <x:c r="Q2" s="23" t="s">
        <x:v>36</x:v>
      </x:c>
      <x:c r="R2" s="3"/>
      <x:c r="S2" s="3" t="str">
        <x:f t="shared" ref="S2:S11" si="1">IF(R2="","",R2+7)</x:f>
      </x:c>
      <x:c r="T2" s="10">
        <x:v>0</x:v>
      </x:c>
      <x:c r="U2" s="10" t="s">
        <x:v>37</x:v>
      </x:c>
      <x:c r="V2" s="10" t="s">
        <x:v>38</x:v>
      </x:c>
      <x:c r="W2" s="4" t="s">
        <x:v>39</x:v>
      </x:c>
      <x:c r="X2" s="4" t="s">
        <x:v>40</x:v>
      </x:c>
    </x:row>
    <x:row r="3" ht="501.6000061035156" hidden="0" customHeight="1">
      <x:c r="A3" s="10">
        <x:v>2</x:v>
      </x:c>
      <x:c r="B3" s="8">
        <x:v>1</x:v>
      </x:c>
      <x:c r="C3" s="8" t="s">
        <x:v>24</x:v>
      </x:c>
      <x:c r="D3" s="2" t="s">
        <x:v>41</x:v>
      </x:c>
      <x:c r="E3" s="2" t="s">
        <x:v>26</x:v>
      </x:c>
      <x:c r="F3" s="2" t="s">
        <x:v>42</x:v>
      </x:c>
      <x:c r="G3" s="2" t="s">
        <x:v>43</x:v>
      </x:c>
      <x:c r="H3" s="12"/>
      <x:c r="I3" s="10" t="str">
        <x:f t="shared" si="0"/>
      </x:c>
      <x:c r="J3" s="13" t="s">
        <x:v>44</x:v>
      </x:c>
      <x:c r="K3" s="2" t="s">
        <x:v>45</x:v>
      </x:c>
      <x:c r="L3" s="2" t="s">
        <x:v>46</x:v>
      </x:c>
      <x:c r="M3" s="2" t="s">
        <x:v>32</x:v>
      </x:c>
      <x:c r="N3" s="4" t="s">
        <x:v>47</x:v>
      </x:c>
      <x:c r="O3" s="4" t="s">
        <x:v>48</x:v>
      </x:c>
      <x:c r="P3" s="23" t="s">
        <x:v>49</x:v>
      </x:c>
      <x:c r="Q3" s="23" t="s">
        <x:v>50</x:v>
      </x:c>
      <x:c r="R3" s="3"/>
      <x:c r="S3" s="3" t="str">
        <x:f t="shared" si="1"/>
      </x:c>
      <x:c r="T3" s="10">
        <x:v>0</x:v>
      </x:c>
      <x:c r="U3" s="10" t="s">
        <x:v>37</x:v>
      </x:c>
      <x:c r="V3" s="10" t="s">
        <x:v>38</x:v>
      </x:c>
      <x:c r="W3" s="4" t="s">
        <x:v>51</x:v>
      </x:c>
      <x:c r="X3" s="4" t="s">
        <x:v>52</x:v>
      </x:c>
    </x:row>
    <x:row r="4" ht="501.6000061035156" hidden="0" customHeight="1">
      <x:c r="A4" s="10">
        <x:v>3</x:v>
      </x:c>
      <x:c r="B4" s="8">
        <x:v>1</x:v>
      </x:c>
      <x:c r="C4" s="8" t="s">
        <x:v>24</x:v>
      </x:c>
      <x:c r="D4" s="2" t="s">
        <x:v>53</x:v>
      </x:c>
      <x:c r="E4" s="2" t="s">
        <x:v>26</x:v>
      </x:c>
      <x:c r="F4" s="2" t="s">
        <x:v>27</x:v>
      </x:c>
      <x:c r="G4" s="2" t="s">
        <x:v>54</x:v>
      </x:c>
      <x:c r="H4" s="12">
        <x:v>46174</x:v>
      </x:c>
      <x:c r="I4" s="10">
        <x:f t="shared" si="0"/>
        <x:v>1</x:v>
      </x:c>
      <x:c r="J4" s="13" t="s">
        <x:v>29</x:v>
      </x:c>
      <x:c r="K4" s="2" t="s">
        <x:v>55</x:v>
      </x:c>
      <x:c r="L4" s="2" t="s">
        <x:v>56</x:v>
      </x:c>
      <x:c r="M4" s="2" t="s">
        <x:v>32</x:v>
      </x:c>
      <x:c r="N4" s="4" t="s">
        <x:v>57</x:v>
      </x:c>
      <x:c r="O4" s="4" t="s">
        <x:v>58</x:v>
      </x:c>
      <x:c r="P4" s="23" t="s">
        <x:v>59</x:v>
      </x:c>
      <x:c r="Q4" s="23" t="s">
        <x:v>60</x:v>
      </x:c>
      <x:c r="R4" s="3"/>
      <x:c r="S4" s="3" t="str">
        <x:f t="shared" si="1"/>
      </x:c>
      <x:c r="T4" s="10">
        <x:v>0</x:v>
      </x:c>
      <x:c r="U4" s="10" t="s">
        <x:v>37</x:v>
      </x:c>
      <x:c r="V4" s="10" t="s">
        <x:v>38</x:v>
      </x:c>
      <x:c r="W4" s="4" t="s">
        <x:v>39</x:v>
      </x:c>
      <x:c r="X4" s="4" t="s">
        <x:v>61</x:v>
      </x:c>
    </x:row>
    <x:row r="5" ht="501.6000061035156" hidden="0" customHeight="1">
      <x:c r="A5" s="10">
        <x:v>4</x:v>
      </x:c>
      <x:c r="B5" s="8">
        <x:v>1</x:v>
      </x:c>
      <x:c r="C5" s="8" t="s">
        <x:v>24</x:v>
      </x:c>
      <x:c r="D5" s="2" t="s">
        <x:v>62</x:v>
      </x:c>
      <x:c r="E5" s="2" t="s">
        <x:v>63</x:v>
      </x:c>
      <x:c r="F5" s="2" t="s">
        <x:v>64</x:v>
      </x:c>
      <x:c r="G5" s="2" t="s">
        <x:v>65</x:v>
      </x:c>
      <x:c r="H5" s="12">
        <x:v>46181</x:v>
      </x:c>
      <x:c r="I5" s="10">
        <x:f t="shared" si="0"/>
        <x:v>0</x:v>
      </x:c>
      <x:c r="J5" s="13" t="s">
        <x:v>66</x:v>
      </x:c>
      <x:c r="K5" s="2" t="s">
        <x:v>67</x:v>
      </x:c>
      <x:c r="L5" s="2" t="s">
        <x:v>68</x:v>
      </x:c>
      <x:c r="M5" s="2" t="s">
        <x:v>32</x:v>
      </x:c>
      <x:c r="N5" s="4" t="s">
        <x:v>69</x:v>
      </x:c>
      <x:c r="O5" s="4" t="s">
        <x:v>70</x:v>
      </x:c>
      <x:c r="P5" s="23" t="s">
        <x:v>71</x:v>
      </x:c>
      <x:c r="Q5" s="23" t="s">
        <x:v>72</x:v>
      </x:c>
      <x:c r="R5" s="3"/>
      <x:c r="S5" s="3" t="str">
        <x:f t="shared" si="1"/>
      </x:c>
      <x:c r="T5" s="10">
        <x:v>0</x:v>
      </x:c>
      <x:c r="U5" s="10" t="s">
        <x:v>37</x:v>
      </x:c>
      <x:c r="V5" s="10" t="s">
        <x:v>38</x:v>
      </x:c>
      <x:c r="W5" s="4" t="s">
        <x:v>39</x:v>
      </x:c>
      <x:c r="X5" s="4" t="s">
        <x:v>73</x:v>
      </x:c>
    </x:row>
    <x:row r="6" ht="501.6000061035156" hidden="0" customHeight="1">
      <x:c r="A6" s="10">
        <x:v>5</x:v>
      </x:c>
      <x:c r="B6" s="8">
        <x:v>1</x:v>
      </x:c>
      <x:c r="C6" s="8" t="s">
        <x:v>24</x:v>
      </x:c>
      <x:c r="D6" s="2" t="s">
        <x:v>74</x:v>
      </x:c>
      <x:c r="E6" s="2" t="s">
        <x:v>75</x:v>
      </x:c>
      <x:c r="F6" s="2" t="s">
        <x:v>76</x:v>
      </x:c>
      <x:c r="G6" s="2" t="s">
        <x:v>77</x:v>
      </x:c>
      <x:c r="H6" s="12">
        <x:v>46113</x:v>
      </x:c>
      <x:c r="I6" s="10">
        <x:f t="shared" si="0"/>
        <x:v>3</x:v>
      </x:c>
      <x:c r="J6" s="13" t="s">
        <x:v>66</x:v>
      </x:c>
      <x:c r="K6" s="2" t="s">
        <x:v>78</x:v>
      </x:c>
      <x:c r="L6" s="2" t="s">
        <x:v>79</x:v>
      </x:c>
      <x:c r="M6" s="2" t="s">
        <x:v>32</x:v>
      </x:c>
      <x:c r="N6" s="4" t="s">
        <x:v>80</x:v>
      </x:c>
      <x:c r="O6" s="4" t="s">
        <x:v>81</x:v>
      </x:c>
      <x:c r="P6" s="23" t="s">
        <x:v>82</x:v>
      </x:c>
      <x:c r="Q6" s="23" t="s">
        <x:v>83</x:v>
      </x:c>
      <x:c r="R6" s="3"/>
      <x:c r="S6" s="3" t="str">
        <x:f t="shared" si="1"/>
      </x:c>
      <x:c r="T6" s="10">
        <x:v>0</x:v>
      </x:c>
      <x:c r="U6" s="10" t="s">
        <x:v>37</x:v>
      </x:c>
      <x:c r="V6" s="10" t="s">
        <x:v>38</x:v>
      </x:c>
      <x:c r="W6" s="4" t="s">
        <x:v>39</x:v>
      </x:c>
      <x:c r="X6" s="4" t="s">
        <x:v>84</x:v>
      </x:c>
    </x:row>
    <x:row r="7" ht="501.6000061035156" hidden="0" customHeight="1">
      <x:c r="A7" s="10">
        <x:v>6</x:v>
      </x:c>
      <x:c r="B7" s="8">
        <x:v>1</x:v>
      </x:c>
      <x:c r="C7" s="8" t="s">
        <x:v>24</x:v>
      </x:c>
      <x:c r="D7" s="2" t="s">
        <x:v>85</x:v>
      </x:c>
      <x:c r="E7" s="2" t="s">
        <x:v>75</x:v>
      </x:c>
      <x:c r="F7" s="2" t="s">
        <x:v>76</x:v>
      </x:c>
      <x:c r="G7" s="2" t="s">
        <x:v>86</x:v>
      </x:c>
      <x:c r="H7" s="12">
        <x:v>46113</x:v>
      </x:c>
      <x:c r="I7" s="10">
        <x:f t="shared" si="0"/>
        <x:v>3</x:v>
      </x:c>
      <x:c r="J7" s="13" t="s">
        <x:v>66</x:v>
      </x:c>
      <x:c r="K7" s="2" t="s">
        <x:v>78</x:v>
      </x:c>
      <x:c r="L7" s="2" t="s">
        <x:v>79</x:v>
      </x:c>
      <x:c r="M7" s="2" t="s">
        <x:v>32</x:v>
      </x:c>
      <x:c r="N7" s="4" t="s">
        <x:v>80</x:v>
      </x:c>
      <x:c r="O7" s="4" t="s">
        <x:v>87</x:v>
      </x:c>
      <x:c r="P7" s="23" t="s">
        <x:v>88</x:v>
      </x:c>
      <x:c r="Q7" s="23" t="s">
        <x:v>89</x:v>
      </x:c>
      <x:c r="R7" s="3"/>
      <x:c r="S7" s="3" t="str">
        <x:f t="shared" si="1"/>
      </x:c>
      <x:c r="T7" s="10">
        <x:v>0</x:v>
      </x:c>
      <x:c r="U7" s="10" t="s">
        <x:v>37</x:v>
      </x:c>
      <x:c r="V7" s="10" t="s">
        <x:v>38</x:v>
      </x:c>
      <x:c r="W7" s="4" t="s">
        <x:v>39</x:v>
      </x:c>
      <x:c r="X7" s="4" t="s">
        <x:v>84</x:v>
      </x:c>
    </x:row>
    <x:row r="8" ht="488.3999938964844" hidden="0" customHeight="1">
      <x:c r="A8" s="10">
        <x:v>7</x:v>
      </x:c>
      <x:c r="B8" s="8">
        <x:v>1</x:v>
      </x:c>
      <x:c r="C8" s="8" t="s">
        <x:v>24</x:v>
      </x:c>
      <x:c r="D8" s="2" t="s">
        <x:v>90</x:v>
      </x:c>
      <x:c r="E8" s="2" t="s">
        <x:v>75</x:v>
      </x:c>
      <x:c r="F8" s="2" t="s">
        <x:v>91</x:v>
      </x:c>
      <x:c r="G8" s="2" t="s">
        <x:v>92</x:v>
      </x:c>
      <x:c r="H8" s="12">
        <x:v>46139</x:v>
      </x:c>
      <x:c r="I8" s="10">
        <x:f t="shared" si="0"/>
        <x:v>2</x:v>
      </x:c>
      <x:c r="J8" s="13" t="s">
        <x:v>66</x:v>
      </x:c>
      <x:c r="K8" s="2" t="s">
        <x:v>78</x:v>
      </x:c>
      <x:c r="L8" s="2" t="s">
        <x:v>79</x:v>
      </x:c>
      <x:c r="M8" s="2" t="s">
        <x:v>32</x:v>
      </x:c>
      <x:c r="N8" s="4" t="s">
        <x:v>93</x:v>
      </x:c>
      <x:c r="O8" s="4" t="s">
        <x:v>94</x:v>
      </x:c>
      <x:c r="P8" s="23" t="s">
        <x:v>95</x:v>
      </x:c>
      <x:c r="Q8" s="23" t="s">
        <x:v>96</x:v>
      </x:c>
      <x:c r="R8" s="3"/>
      <x:c r="S8" s="3" t="str">
        <x:f t="shared" si="1"/>
      </x:c>
      <x:c r="T8" s="10">
        <x:v>0</x:v>
      </x:c>
      <x:c r="U8" s="10" t="s">
        <x:v>37</x:v>
      </x:c>
      <x:c r="V8" s="10" t="s">
        <x:v>38</x:v>
      </x:c>
      <x:c r="W8" s="4" t="s">
        <x:v>39</x:v>
      </x:c>
      <x:c r="X8" s="4" t="s">
        <x:v>84</x:v>
      </x:c>
    </x:row>
    <x:row r="9" ht="475.20001220703125" hidden="0" customHeight="1">
      <x:c r="A9" s="10">
        <x:v>8</x:v>
      </x:c>
      <x:c r="B9" s="8">
        <x:v>1</x:v>
      </x:c>
      <x:c r="C9" s="8" t="s">
        <x:v>24</x:v>
      </x:c>
      <x:c r="D9" s="2" t="s">
        <x:v>97</x:v>
      </x:c>
      <x:c r="E9" s="2" t="s">
        <x:v>75</x:v>
      </x:c>
      <x:c r="F9" s="2" t="s">
        <x:v>76</x:v>
      </x:c>
      <x:c r="G9" s="2" t="s">
        <x:v>98</x:v>
      </x:c>
      <x:c r="H9" s="12">
        <x:v>46078</x:v>
      </x:c>
      <x:c r="I9" s="10">
        <x:f t="shared" si="0"/>
        <x:v>4</x:v>
      </x:c>
      <x:c r="J9" s="13" t="s">
        <x:v>66</x:v>
      </x:c>
      <x:c r="K9" s="2" t="s">
        <x:v>78</x:v>
      </x:c>
      <x:c r="L9" s="2" t="s">
        <x:v>79</x:v>
      </x:c>
      <x:c r="M9" s="2" t="s">
        <x:v>32</x:v>
      </x:c>
      <x:c r="N9" s="4" t="s">
        <x:v>99</x:v>
      </x:c>
      <x:c r="O9" s="4" t="s">
        <x:v>100</x:v>
      </x:c>
      <x:c r="P9" s="23" t="s">
        <x:v>101</x:v>
      </x:c>
      <x:c r="Q9" s="23" t="s">
        <x:v>102</x:v>
      </x:c>
      <x:c r="R9" s="3"/>
      <x:c r="S9" s="3" t="str">
        <x:f t="shared" si="1"/>
      </x:c>
      <x:c r="T9" s="10">
        <x:v>0</x:v>
      </x:c>
      <x:c r="U9" s="10" t="s">
        <x:v>37</x:v>
      </x:c>
      <x:c r="V9" s="10" t="s">
        <x:v>38</x:v>
      </x:c>
      <x:c r="W9" s="4" t="s">
        <x:v>39</x:v>
      </x:c>
      <x:c r="X9" s="4" t="s">
        <x:v>103</x:v>
      </x:c>
    </x:row>
    <x:row r="10" ht="528" hidden="0" customHeight="1">
      <x:c r="A10" s="10">
        <x:v>9</x:v>
      </x:c>
      <x:c r="B10" s="8">
        <x:v>1</x:v>
      </x:c>
      <x:c r="C10" s="8" t="s">
        <x:v>24</x:v>
      </x:c>
      <x:c r="D10" s="2" t="s">
        <x:v>104</x:v>
      </x:c>
      <x:c r="E10" s="2" t="s">
        <x:v>75</x:v>
      </x:c>
      <x:c r="F10" s="2" t="s">
        <x:v>105</x:v>
      </x:c>
      <x:c r="G10" s="2" t="s">
        <x:v>106</x:v>
      </x:c>
      <x:c r="H10" s="12">
        <x:v>46073</x:v>
      </x:c>
      <x:c r="I10" s="10">
        <x:f t="shared" si="0"/>
        <x:v>4</x:v>
      </x:c>
      <x:c r="J10" s="13" t="s">
        <x:v>66</x:v>
      </x:c>
      <x:c r="K10" s="2" t="s">
        <x:v>107</x:v>
      </x:c>
      <x:c r="L10" s="2" t="s">
        <x:v>108</x:v>
      </x:c>
      <x:c r="M10" s="2" t="s">
        <x:v>32</x:v>
      </x:c>
      <x:c r="N10" s="4" t="s">
        <x:v>109</x:v>
      </x:c>
      <x:c r="O10" s="4" t="s">
        <x:v>110</x:v>
      </x:c>
      <x:c r="P10" s="23" t="s">
        <x:v>111</x:v>
      </x:c>
      <x:c r="Q10" s="23" t="s">
        <x:v>112</x:v>
      </x:c>
      <x:c r="R10" s="3"/>
      <x:c r="S10" s="3" t="str">
        <x:f t="shared" si="1"/>
      </x:c>
      <x:c r="T10" s="10">
        <x:v>0</x:v>
      </x:c>
      <x:c r="U10" s="10" t="s">
        <x:v>37</x:v>
      </x:c>
      <x:c r="V10" s="10" t="s">
        <x:v>38</x:v>
      </x:c>
      <x:c r="W10" s="4" t="s">
        <x:v>39</x:v>
      </x:c>
      <x:c r="X10" s="4" t="s">
        <x:v>103</x:v>
      </x:c>
    </x:row>
    <x:row r="11" ht="514.7999877929688" hidden="0" customHeight="1">
      <x:c r="A11" s="11">
        <x:v>10</x:v>
      </x:c>
      <x:c r="B11" s="9">
        <x:v>1</x:v>
      </x:c>
      <x:c r="C11" s="9" t="s">
        <x:v>24</x:v>
      </x:c>
      <x:c r="D11" s="5" t="s">
        <x:v>113</x:v>
      </x:c>
      <x:c r="E11" s="5" t="s">
        <x:v>75</x:v>
      </x:c>
      <x:c r="F11" s="5" t="s">
        <x:v>114</x:v>
      </x:c>
      <x:c r="G11" s="5" t="s">
        <x:v>115</x:v>
      </x:c>
      <x:c r="H11" s="14">
        <x:v>46027</x:v>
      </x:c>
      <x:c r="I11" s="11">
        <x:f t="shared" si="0"/>
        <x:v>5</x:v>
      </x:c>
      <x:c r="J11" s="15" t="s">
        <x:v>116</x:v>
      </x:c>
      <x:c r="K11" s="5" t="s">
        <x:v>117</x:v>
      </x:c>
      <x:c r="L11" s="5" t="s">
        <x:v>118</x:v>
      </x:c>
      <x:c r="M11" s="5" t="s">
        <x:v>32</x:v>
      </x:c>
      <x:c r="N11" s="7" t="s">
        <x:v>119</x:v>
      </x:c>
      <x:c r="O11" s="7" t="s">
        <x:v>120</x:v>
      </x:c>
      <x:c r="P11" s="24" t="s">
        <x:v>121</x:v>
      </x:c>
      <x:c r="Q11" s="24" t="s">
        <x:v>122</x:v>
      </x:c>
      <x:c r="R11" s="6"/>
      <x:c r="S11" s="6" t="str">
        <x:f t="shared" si="1"/>
      </x:c>
      <x:c r="T11" s="11">
        <x:v>0</x:v>
      </x:c>
      <x:c r="U11" s="11" t="s">
        <x:v>37</x:v>
      </x:c>
      <x:c r="V11" s="11" t="s">
        <x:v>38</x:v>
      </x:c>
      <x:c r="W11" s="7" t="s">
        <x:v>123</x:v>
      </x:c>
      <x:c r="X11" s="7" t="s">
        <x:v>124</x:v>
      </x:c>
    </x:row>
  </x:sheetData>
  <x:dataValidations count="3">
    <x:dataValidation type="list" sqref="U2:U200">
      <x:formula1>"未送信,下書き済み,送信済み,返信あり,商談中,成約,見送り"</x:formula1>
    </x:dataValidation>
    <x:dataValidation type="list" sqref="V2:V200">
      <x:formula1>"いいえ,はい"</x:formula1>
    </x:dataValidation>
    <x:dataValidation type="whole" sqref="T2:T200">
      <x:formula1>0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bad26c98d9c45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9" customWidth="1"/>
    <x:col min="2" max="2" width="90" customWidth="1"/>
  </x:cols>
  <x:sheetData>
    <x:row r="1" ht="34" customHeight="1">
      <x:c r="A1" s="22" t="s">
        <x:v>125</x:v>
      </x:c>
      <x:c r="B1" s="22"/>
      <x:c r="C1" s="22"/>
      <x:c r="D1" s="22"/>
      <x:c r="E1" s="22"/>
      <x:c r="F1" s="22"/>
    </x:row>
    <x:row r="3" ht="15">
      <x:c r="A3" s="16" t="s">
        <x:v>126</x:v>
      </x:c>
      <x:c r="B3" s="16" t="s">
        <x:v>127</x:v>
      </x:c>
    </x:row>
    <x:row r="4" ht="42" customHeight="1">
      <x:c r="A4" s="17" t="s">
        <x:v>128</x:v>
      </x:c>
      <x:c r="B4" s="17" t="s">
        <x:v>129</x:v>
      </x:c>
    </x:row>
    <x:row r="5" ht="42" customHeight="1">
      <x:c r="A5" s="17" t="s">
        <x:v>130</x:v>
      </x:c>
      <x:c r="B5" s="17" t="s">
        <x:v>131</x:v>
      </x:c>
    </x:row>
    <x:row r="6" ht="42" customHeight="1">
      <x:c r="A6" s="17" t="s">
        <x:v>132</x:v>
      </x:c>
      <x:c r="B6" s="17" t="s">
        <x:v>133</x:v>
      </x:c>
    </x:row>
    <x:row r="7" ht="42" customHeight="1">
      <x:c r="A7" s="17" t="s">
        <x:v>19</x:v>
      </x:c>
      <x:c r="B7" s="17" t="s">
        <x:v>134</x:v>
      </x:c>
    </x:row>
    <x:row r="8" ht="42" customHeight="1">
      <x:c r="A8" s="17" t="s">
        <x:v>21</x:v>
      </x:c>
      <x:c r="B8" s="17" t="s">
        <x:v>135</x:v>
      </x:c>
    </x:row>
    <x:row r="9" ht="42" customHeight="1">
      <x:c r="A9" s="17" t="s">
        <x:v>136</x:v>
      </x:c>
      <x:c r="B9" s="17" t="s">
        <x:v>137</x:v>
      </x:c>
    </x:row>
    <x:row r="10" ht="42" customHeight="1">
      <x:c r="A10" s="17" t="s">
        <x:v>138</x:v>
      </x:c>
      <x:c r="B10" s="17" t="s">
        <x:v>139</x:v>
      </x:c>
    </x:row>
    <x:row r="11" ht="42" customHeight="1">
      <x:c r="A11" s="17" t="s">
        <x:v>140</x:v>
      </x:c>
      <x:c r="B11" s="17" t="s">
        <x:v>141</x:v>
      </x:c>
    </x:row>
    <x:row r="12" ht="42" customHeight="1">
      <x:c r="A12" s="18" t="s">
        <x:v>142</x:v>
      </x:c>
      <x:c r="B12" s="18" t="s">
        <x:v>143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7" customWidth="1"/>
    <x:col min="2" max="2" width="36" customWidth="1"/>
    <x:col min="3" max="3" width="14" customWidth="1"/>
    <x:col min="4" max="4" width="24" customWidth="1"/>
    <x:col min="5" max="5" width="72" customWidth="1"/>
    <x:col min="6" max="7" width="38" customWidth="1"/>
  </x:cols>
  <x:sheetData>
    <x:row r="1" ht="16">
      <x:c r="A1" s="19" t="s">
        <x:v>0</x:v>
      </x:c>
      <x:c r="B1" s="19" t="s">
        <x:v>3</x:v>
      </x:c>
      <x:c r="C1" s="19" t="s">
        <x:v>7</x:v>
      </x:c>
      <x:c r="D1" s="19" t="s">
        <x:v>144</x:v>
      </x:c>
      <x:c r="E1" s="19" t="s">
        <x:v>23</x:v>
      </x:c>
      <x:c r="F1" s="19" t="s">
        <x:v>145</x:v>
      </x:c>
      <x:c r="G1" s="19" t="s">
        <x:v>146</x:v>
      </x:c>
    </x:row>
    <x:row r="2" ht="52" customHeight="1">
      <x:c r="A2" s="17">
        <x:v>1</x:v>
      </x:c>
      <x:c r="B2" s="17" t="s">
        <x:v>25</x:v>
      </x:c>
      <x:c r="C2" s="20">
        <x:v>46146</x:v>
      </x:c>
      <x:c r="D2" s="17" t="s">
        <x:v>147</x:v>
      </x:c>
      <x:c r="E2" s="17" t="s">
        <x:v>40</x:v>
      </x:c>
      <x:c r="F2" s="17" t="s">
        <x:v>30</x:v>
      </x:c>
      <x:c r="G2" s="17" t="s">
        <x:v>148</x:v>
      </x:c>
    </x:row>
    <x:row r="3" ht="52" customHeight="1">
      <x:c r="A3" s="17">
        <x:v>2</x:v>
      </x:c>
      <x:c r="B3" s="17" t="s">
        <x:v>41</x:v>
      </x:c>
      <x:c r="C3" s="20"/>
      <x:c r="D3" s="17" t="s">
        <x:v>147</x:v>
      </x:c>
      <x:c r="E3" s="17" t="s">
        <x:v>52</x:v>
      </x:c>
      <x:c r="F3" s="17" t="s">
        <x:v>45</x:v>
      </x:c>
      <x:c r="G3" s="17" t="s">
        <x:v>149</x:v>
      </x:c>
    </x:row>
    <x:row r="4" ht="52" customHeight="1">
      <x:c r="A4" s="17">
        <x:v>3</x:v>
      </x:c>
      <x:c r="B4" s="17" t="s">
        <x:v>53</x:v>
      </x:c>
      <x:c r="C4" s="20">
        <x:v>46174</x:v>
      </x:c>
      <x:c r="D4" s="17" t="s">
        <x:v>147</x:v>
      </x:c>
      <x:c r="E4" s="17" t="s">
        <x:v>61</x:v>
      </x:c>
      <x:c r="F4" s="17" t="s">
        <x:v>55</x:v>
      </x:c>
      <x:c r="G4" s="17" t="s">
        <x:v>148</x:v>
      </x:c>
    </x:row>
    <x:row r="5" ht="52" customHeight="1">
      <x:c r="A5" s="17">
        <x:v>4</x:v>
      </x:c>
      <x:c r="B5" s="17" t="s">
        <x:v>62</x:v>
      </x:c>
      <x:c r="C5" s="20">
        <x:v>46181</x:v>
      </x:c>
      <x:c r="D5" s="17" t="s">
        <x:v>147</x:v>
      </x:c>
      <x:c r="E5" s="17" t="s">
        <x:v>73</x:v>
      </x:c>
      <x:c r="F5" s="17" t="s">
        <x:v>67</x:v>
      </x:c>
      <x:c r="G5" s="17" t="s">
        <x:v>148</x:v>
      </x:c>
    </x:row>
    <x:row r="6" ht="52" customHeight="1">
      <x:c r="A6" s="17">
        <x:v>5</x:v>
      </x:c>
      <x:c r="B6" s="17" t="s">
        <x:v>74</x:v>
      </x:c>
      <x:c r="C6" s="20">
        <x:v>46113</x:v>
      </x:c>
      <x:c r="D6" s="17" t="s">
        <x:v>150</x:v>
      </x:c>
      <x:c r="E6" s="17" t="s">
        <x:v>84</x:v>
      </x:c>
      <x:c r="F6" s="17" t="s">
        <x:v>78</x:v>
      </x:c>
      <x:c r="G6" s="17" t="s">
        <x:v>148</x:v>
      </x:c>
    </x:row>
    <x:row r="7" ht="52" customHeight="1">
      <x:c r="A7" s="17">
        <x:v>6</x:v>
      </x:c>
      <x:c r="B7" s="17" t="s">
        <x:v>85</x:v>
      </x:c>
      <x:c r="C7" s="20">
        <x:v>46113</x:v>
      </x:c>
      <x:c r="D7" s="17" t="s">
        <x:v>150</x:v>
      </x:c>
      <x:c r="E7" s="17" t="s">
        <x:v>84</x:v>
      </x:c>
      <x:c r="F7" s="17" t="s">
        <x:v>78</x:v>
      </x:c>
      <x:c r="G7" s="17" t="s">
        <x:v>148</x:v>
      </x:c>
    </x:row>
    <x:row r="8" ht="52" customHeight="1">
      <x:c r="A8" s="17">
        <x:v>7</x:v>
      </x:c>
      <x:c r="B8" s="17" t="s">
        <x:v>90</x:v>
      </x:c>
      <x:c r="C8" s="20">
        <x:v>46139</x:v>
      </x:c>
      <x:c r="D8" s="17" t="s">
        <x:v>150</x:v>
      </x:c>
      <x:c r="E8" s="17" t="s">
        <x:v>84</x:v>
      </x:c>
      <x:c r="F8" s="17" t="s">
        <x:v>78</x:v>
      </x:c>
      <x:c r="G8" s="17" t="s">
        <x:v>148</x:v>
      </x:c>
    </x:row>
    <x:row r="9" ht="52" customHeight="1">
      <x:c r="A9" s="17">
        <x:v>8</x:v>
      </x:c>
      <x:c r="B9" s="17" t="s">
        <x:v>97</x:v>
      </x:c>
      <x:c r="C9" s="20">
        <x:v>46078</x:v>
      </x:c>
      <x:c r="D9" s="17" t="s">
        <x:v>150</x:v>
      </x:c>
      <x:c r="E9" s="17" t="s">
        <x:v>103</x:v>
      </x:c>
      <x:c r="F9" s="17" t="s">
        <x:v>78</x:v>
      </x:c>
      <x:c r="G9" s="17" t="s">
        <x:v>148</x:v>
      </x:c>
    </x:row>
    <x:row r="10" ht="52" customHeight="1">
      <x:c r="A10" s="17">
        <x:v>9</x:v>
      </x:c>
      <x:c r="B10" s="17" t="s">
        <x:v>104</x:v>
      </x:c>
      <x:c r="C10" s="20">
        <x:v>46073</x:v>
      </x:c>
      <x:c r="D10" s="17" t="s">
        <x:v>150</x:v>
      </x:c>
      <x:c r="E10" s="17" t="s">
        <x:v>103</x:v>
      </x:c>
      <x:c r="F10" s="17" t="s">
        <x:v>107</x:v>
      </x:c>
      <x:c r="G10" s="17" t="s">
        <x:v>148</x:v>
      </x:c>
    </x:row>
    <x:row r="11" ht="52" customHeight="1">
      <x:c r="A11" s="18">
        <x:v>10</x:v>
      </x:c>
      <x:c r="B11" s="18" t="s">
        <x:v>113</x:v>
      </x:c>
      <x:c r="C11" s="21">
        <x:v>46027</x:v>
      </x:c>
      <x:c r="D11" s="18" t="s">
        <x:v>150</x:v>
      </x:c>
      <x:c r="E11" s="18" t="s">
        <x:v>124</x:v>
      </x:c>
      <x:c r="F11" s="18" t="s">
        <x:v>117</x:v>
      </x:c>
      <x:c r="G11" s="18" t="s">
        <x:v>148</x:v>
      </x:c>
    </x:row>
  </x:sheetData>
  <x:pageMargins left="0.7" right="0.7" top="0.75" bottom="0.75" header="0.3" footer="0.3"/>
  <x:tableParts count="1">
    <x:tablePart xmlns:r="http://schemas.openxmlformats.org/officeDocument/2006/relationships" r:id="R0bbc57b6fb7b4682"/>
  </x:tableParts>
</x:worksheet>
</file>